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kuttyvysakh/Downloads/"/>
    </mc:Choice>
  </mc:AlternateContent>
  <xr:revisionPtr revIDLastSave="0" documentId="13_ncr:1_{1205C357-F26C-A94F-A6FE-98DB339FE7A7}" xr6:coauthVersionLast="47" xr6:coauthVersionMax="47" xr10:uidLastSave="{00000000-0000-0000-0000-000000000000}"/>
  <bookViews>
    <workbookView xWindow="0" yWindow="520" windowWidth="28800" windowHeight="16240" activeTab="6" xr2:uid="{00000000-000D-0000-FFFF-FFFF00000000}"/>
  </bookViews>
  <sheets>
    <sheet name="MASTER_PRODUCTS" sheetId="1" r:id="rId1"/>
    <sheet name="MASTER_RAW_MATERIALS" sheetId="2" r:id="rId2"/>
    <sheet name="BOM" sheetId="3" r:id="rId3"/>
    <sheet name="PURCHASES" sheetId="4" r:id="rId4"/>
    <sheet name="PRODUCTION_REPORT" sheetId="5" r:id="rId5"/>
    <sheet name="SALES" sheetId="6" r:id="rId6"/>
    <sheet name="STOCK_LEDGER" sheetId="7" r:id="rId7"/>
    <sheet name="FG_STOCK" sheetId="8" r:id="rId8"/>
    <sheet name="VARIANCE_REPORT" sheetId="9" r:id="rId9"/>
    <sheet name="DASHBOARD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7" l="1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6" i="7"/>
  <c r="F27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2" i="7"/>
  <c r="F3" i="7"/>
  <c r="A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H3" i="7"/>
  <c r="C86" i="3"/>
  <c r="A499" i="8"/>
  <c r="B499" i="8" s="1"/>
  <c r="A498" i="8"/>
  <c r="A497" i="8"/>
  <c r="D497" i="8" s="1"/>
  <c r="A496" i="8"/>
  <c r="A495" i="8"/>
  <c r="A494" i="8"/>
  <c r="B494" i="8" s="1"/>
  <c r="A493" i="8"/>
  <c r="A492" i="8"/>
  <c r="A491" i="8"/>
  <c r="A490" i="8"/>
  <c r="B490" i="8" s="1"/>
  <c r="A489" i="8"/>
  <c r="A488" i="8"/>
  <c r="A487" i="8"/>
  <c r="B487" i="8" s="1"/>
  <c r="A486" i="8"/>
  <c r="A485" i="8"/>
  <c r="A484" i="8"/>
  <c r="A483" i="8"/>
  <c r="A482" i="8"/>
  <c r="A481" i="8"/>
  <c r="A480" i="8"/>
  <c r="A479" i="8"/>
  <c r="A478" i="8"/>
  <c r="B478" i="8" s="1"/>
  <c r="A477" i="8"/>
  <c r="C477" i="8" s="1"/>
  <c r="A476" i="8"/>
  <c r="A475" i="8"/>
  <c r="B475" i="8" s="1"/>
  <c r="A474" i="8"/>
  <c r="B474" i="8" s="1"/>
  <c r="A473" i="8"/>
  <c r="A472" i="8"/>
  <c r="A471" i="8"/>
  <c r="B471" i="8" s="1"/>
  <c r="A470" i="8"/>
  <c r="A469" i="8"/>
  <c r="A468" i="8"/>
  <c r="A467" i="8"/>
  <c r="B467" i="8" s="1"/>
  <c r="A466" i="8"/>
  <c r="A465" i="8"/>
  <c r="C465" i="8" s="1"/>
  <c r="A464" i="8"/>
  <c r="A463" i="8"/>
  <c r="B463" i="8" s="1"/>
  <c r="A462" i="8"/>
  <c r="B462" i="8" s="1"/>
  <c r="A461" i="8"/>
  <c r="B461" i="8" s="1"/>
  <c r="A460" i="8"/>
  <c r="B460" i="8" s="1"/>
  <c r="A459" i="8"/>
  <c r="A458" i="8"/>
  <c r="B458" i="8" s="1"/>
  <c r="A457" i="8"/>
  <c r="B457" i="8" s="1"/>
  <c r="A456" i="8"/>
  <c r="A455" i="8"/>
  <c r="C455" i="8" s="1"/>
  <c r="A454" i="8"/>
  <c r="A453" i="8"/>
  <c r="B453" i="8" s="1"/>
  <c r="A452" i="8"/>
  <c r="A451" i="8"/>
  <c r="A450" i="8"/>
  <c r="A449" i="8"/>
  <c r="A448" i="8"/>
  <c r="B448" i="8" s="1"/>
  <c r="A447" i="8"/>
  <c r="B447" i="8" s="1"/>
  <c r="A446" i="8"/>
  <c r="B446" i="8" s="1"/>
  <c r="A445" i="8"/>
  <c r="B445" i="8" s="1"/>
  <c r="A444" i="8"/>
  <c r="A443" i="8"/>
  <c r="B443" i="8" s="1"/>
  <c r="A442" i="8"/>
  <c r="B442" i="8" s="1"/>
  <c r="A441" i="8"/>
  <c r="A440" i="8"/>
  <c r="A439" i="8"/>
  <c r="A438" i="8"/>
  <c r="A437" i="8"/>
  <c r="A436" i="8"/>
  <c r="A435" i="8"/>
  <c r="B435" i="8" s="1"/>
  <c r="A434" i="8"/>
  <c r="A433" i="8"/>
  <c r="A432" i="8"/>
  <c r="B432" i="8" s="1"/>
  <c r="A431" i="8"/>
  <c r="A430" i="8"/>
  <c r="B430" i="8" s="1"/>
  <c r="A429" i="8"/>
  <c r="B429" i="8" s="1"/>
  <c r="A428" i="8"/>
  <c r="A427" i="8"/>
  <c r="B427" i="8" s="1"/>
  <c r="A426" i="8"/>
  <c r="A425" i="8"/>
  <c r="B425" i="8" s="1"/>
  <c r="A424" i="8"/>
  <c r="A423" i="8"/>
  <c r="A422" i="8"/>
  <c r="B422" i="8" s="1"/>
  <c r="A421" i="8"/>
  <c r="B421" i="8" s="1"/>
  <c r="A420" i="8"/>
  <c r="A419" i="8"/>
  <c r="B419" i="8" s="1"/>
  <c r="A418" i="8"/>
  <c r="A417" i="8"/>
  <c r="A416" i="8"/>
  <c r="A415" i="8"/>
  <c r="B415" i="8" s="1"/>
  <c r="A414" i="8"/>
  <c r="B414" i="8" s="1"/>
  <c r="A413" i="8"/>
  <c r="A412" i="8"/>
  <c r="A411" i="8"/>
  <c r="A410" i="8"/>
  <c r="A409" i="8"/>
  <c r="B409" i="8" s="1"/>
  <c r="A408" i="8"/>
  <c r="A407" i="8"/>
  <c r="A406" i="8"/>
  <c r="A405" i="8"/>
  <c r="C405" i="8" s="1"/>
  <c r="A404" i="8"/>
  <c r="A403" i="8"/>
  <c r="B403" i="8" s="1"/>
  <c r="A402" i="8"/>
  <c r="B402" i="8" s="1"/>
  <c r="A401" i="8"/>
  <c r="D401" i="8" s="1"/>
  <c r="A400" i="8"/>
  <c r="A399" i="8"/>
  <c r="A398" i="8"/>
  <c r="B398" i="8" s="1"/>
  <c r="A397" i="8"/>
  <c r="B397" i="8" s="1"/>
  <c r="A396" i="8"/>
  <c r="A395" i="8"/>
  <c r="A394" i="8"/>
  <c r="A393" i="8"/>
  <c r="B393" i="8" s="1"/>
  <c r="A392" i="8"/>
  <c r="A391" i="8"/>
  <c r="C391" i="8" s="1"/>
  <c r="A390" i="8"/>
  <c r="A389" i="8"/>
  <c r="A388" i="8"/>
  <c r="A387" i="8"/>
  <c r="B387" i="8" s="1"/>
  <c r="A386" i="8"/>
  <c r="A385" i="8"/>
  <c r="A384" i="8"/>
  <c r="A383" i="8"/>
  <c r="B383" i="8" s="1"/>
  <c r="A382" i="8"/>
  <c r="B382" i="8" s="1"/>
  <c r="A381" i="8"/>
  <c r="B381" i="8" s="1"/>
  <c r="A380" i="8"/>
  <c r="D380" i="8" s="1"/>
  <c r="A379" i="8"/>
  <c r="A378" i="8"/>
  <c r="D378" i="8" s="1"/>
  <c r="A377" i="8"/>
  <c r="B377" i="8" s="1"/>
  <c r="A376" i="8"/>
  <c r="A375" i="8"/>
  <c r="A374" i="8"/>
  <c r="D374" i="8" s="1"/>
  <c r="A373" i="8"/>
  <c r="A372" i="8"/>
  <c r="C372" i="8" s="1"/>
  <c r="A371" i="8"/>
  <c r="A370" i="8"/>
  <c r="A369" i="8"/>
  <c r="B369" i="8" s="1"/>
  <c r="A368" i="8"/>
  <c r="A367" i="8"/>
  <c r="A366" i="8"/>
  <c r="D366" i="8" s="1"/>
  <c r="A365" i="8"/>
  <c r="B365" i="8" s="1"/>
  <c r="A364" i="8"/>
  <c r="A363" i="8"/>
  <c r="D363" i="8" s="1"/>
  <c r="A362" i="8"/>
  <c r="D362" i="8" s="1"/>
  <c r="A361" i="8"/>
  <c r="C361" i="8" s="1"/>
  <c r="A360" i="8"/>
  <c r="B360" i="8" s="1"/>
  <c r="A359" i="8"/>
  <c r="B359" i="8" s="1"/>
  <c r="A358" i="8"/>
  <c r="D358" i="8" s="1"/>
  <c r="A357" i="8"/>
  <c r="B357" i="8" s="1"/>
  <c r="A356" i="8"/>
  <c r="D356" i="8" s="1"/>
  <c r="A355" i="8"/>
  <c r="A354" i="8"/>
  <c r="D354" i="8" s="1"/>
  <c r="A353" i="8"/>
  <c r="A352" i="8"/>
  <c r="A351" i="8"/>
  <c r="B351" i="8" s="1"/>
  <c r="A350" i="8"/>
  <c r="A349" i="8"/>
  <c r="B349" i="8" s="1"/>
  <c r="A348" i="8"/>
  <c r="D348" i="8" s="1"/>
  <c r="A347" i="8"/>
  <c r="D347" i="8" s="1"/>
  <c r="A346" i="8"/>
  <c r="D346" i="8" s="1"/>
  <c r="A345" i="8"/>
  <c r="B345" i="8" s="1"/>
  <c r="A344" i="8"/>
  <c r="B344" i="8" s="1"/>
  <c r="A343" i="8"/>
  <c r="A342" i="8"/>
  <c r="D342" i="8" s="1"/>
  <c r="A341" i="8"/>
  <c r="A340" i="8"/>
  <c r="B340" i="8" s="1"/>
  <c r="A339" i="8"/>
  <c r="A338" i="8"/>
  <c r="A337" i="8"/>
  <c r="B337" i="8" s="1"/>
  <c r="A336" i="8"/>
  <c r="D336" i="8" s="1"/>
  <c r="A335" i="8"/>
  <c r="D335" i="8" s="1"/>
  <c r="A334" i="8"/>
  <c r="A333" i="8"/>
  <c r="A332" i="8"/>
  <c r="C332" i="8" s="1"/>
  <c r="A331" i="8"/>
  <c r="D331" i="8" s="1"/>
  <c r="A330" i="8"/>
  <c r="B330" i="8" s="1"/>
  <c r="A329" i="8"/>
  <c r="D329" i="8" s="1"/>
  <c r="A328" i="8"/>
  <c r="A327" i="8"/>
  <c r="A326" i="8"/>
  <c r="A325" i="8"/>
  <c r="B325" i="8" s="1"/>
  <c r="A324" i="8"/>
  <c r="B324" i="8" s="1"/>
  <c r="A323" i="8"/>
  <c r="D323" i="8" s="1"/>
  <c r="A322" i="8"/>
  <c r="B322" i="8" s="1"/>
  <c r="A321" i="8"/>
  <c r="D321" i="8" s="1"/>
  <c r="A320" i="8"/>
  <c r="B320" i="8" s="1"/>
  <c r="A319" i="8"/>
  <c r="A318" i="8"/>
  <c r="B318" i="8" s="1"/>
  <c r="A317" i="8"/>
  <c r="A316" i="8"/>
  <c r="B316" i="8" s="1"/>
  <c r="A315" i="8"/>
  <c r="D315" i="8" s="1"/>
  <c r="A314" i="8"/>
  <c r="B314" i="8" s="1"/>
  <c r="A313" i="8"/>
  <c r="D313" i="8" s="1"/>
  <c r="A312" i="8"/>
  <c r="A311" i="8"/>
  <c r="C311" i="8" s="1"/>
  <c r="A310" i="8"/>
  <c r="A309" i="8"/>
  <c r="B309" i="8" s="1"/>
  <c r="A308" i="8"/>
  <c r="B308" i="8" s="1"/>
  <c r="A307" i="8"/>
  <c r="D307" i="8" s="1"/>
  <c r="A306" i="8"/>
  <c r="B306" i="8" s="1"/>
  <c r="A305" i="8"/>
  <c r="A304" i="8"/>
  <c r="B304" i="8" s="1"/>
  <c r="A303" i="8"/>
  <c r="A302" i="8"/>
  <c r="B302" i="8" s="1"/>
  <c r="A301" i="8"/>
  <c r="A300" i="8"/>
  <c r="B300" i="8" s="1"/>
  <c r="A299" i="8"/>
  <c r="D299" i="8" s="1"/>
  <c r="A298" i="8"/>
  <c r="B298" i="8" s="1"/>
  <c r="A297" i="8"/>
  <c r="D297" i="8" s="1"/>
  <c r="A296" i="8"/>
  <c r="C296" i="8" s="1"/>
  <c r="A295" i="8"/>
  <c r="C295" i="8" s="1"/>
  <c r="A294" i="8"/>
  <c r="A293" i="8"/>
  <c r="B293" i="8" s="1"/>
  <c r="A292" i="8"/>
  <c r="B292" i="8" s="1"/>
  <c r="A291" i="8"/>
  <c r="A290" i="8"/>
  <c r="B290" i="8" s="1"/>
  <c r="A289" i="8"/>
  <c r="D289" i="8" s="1"/>
  <c r="A288" i="8"/>
  <c r="B288" i="8" s="1"/>
  <c r="A287" i="8"/>
  <c r="C287" i="8" s="1"/>
  <c r="A286" i="8"/>
  <c r="A285" i="8"/>
  <c r="C285" i="8" s="1"/>
  <c r="A284" i="8"/>
  <c r="B284" i="8" s="1"/>
  <c r="A283" i="8"/>
  <c r="D283" i="8" s="1"/>
  <c r="A282" i="8"/>
  <c r="A281" i="8"/>
  <c r="A280" i="8"/>
  <c r="A279" i="8"/>
  <c r="C279" i="8" s="1"/>
  <c r="A278" i="8"/>
  <c r="A277" i="8"/>
  <c r="B277" i="8" s="1"/>
  <c r="A276" i="8"/>
  <c r="B276" i="8" s="1"/>
  <c r="A275" i="8"/>
  <c r="A274" i="8"/>
  <c r="A273" i="8"/>
  <c r="D273" i="8" s="1"/>
  <c r="A272" i="8"/>
  <c r="B272" i="8" s="1"/>
  <c r="A271" i="8"/>
  <c r="C271" i="8" s="1"/>
  <c r="A270" i="8"/>
  <c r="B270" i="8" s="1"/>
  <c r="A269" i="8"/>
  <c r="A268" i="8"/>
  <c r="B268" i="8" s="1"/>
  <c r="A267" i="8"/>
  <c r="A266" i="8"/>
  <c r="A265" i="8"/>
  <c r="A264" i="8"/>
  <c r="B264" i="8" s="1"/>
  <c r="A263" i="8"/>
  <c r="C263" i="8" s="1"/>
  <c r="A262" i="8"/>
  <c r="B262" i="8" s="1"/>
  <c r="A261" i="8"/>
  <c r="A260" i="8"/>
  <c r="C260" i="8" s="1"/>
  <c r="A259" i="8"/>
  <c r="D259" i="8" s="1"/>
  <c r="A258" i="8"/>
  <c r="A257" i="8"/>
  <c r="D257" i="8" s="1"/>
  <c r="A256" i="8"/>
  <c r="B256" i="8" s="1"/>
  <c r="A255" i="8"/>
  <c r="D255" i="8" s="1"/>
  <c r="A254" i="8"/>
  <c r="B254" i="8" s="1"/>
  <c r="A253" i="8"/>
  <c r="D253" i="8" s="1"/>
  <c r="A252" i="8"/>
  <c r="B252" i="8" s="1"/>
  <c r="A251" i="8"/>
  <c r="B251" i="8" s="1"/>
  <c r="A250" i="8"/>
  <c r="A249" i="8"/>
  <c r="A248" i="8"/>
  <c r="B248" i="8" s="1"/>
  <c r="A247" i="8"/>
  <c r="C247" i="8" s="1"/>
  <c r="A246" i="8"/>
  <c r="B246" i="8" s="1"/>
  <c r="A245" i="8"/>
  <c r="A244" i="8"/>
  <c r="C244" i="8" s="1"/>
  <c r="A243" i="8"/>
  <c r="D243" i="8" s="1"/>
  <c r="A242" i="8"/>
  <c r="A241" i="8"/>
  <c r="A240" i="8"/>
  <c r="B240" i="8" s="1"/>
  <c r="A239" i="8"/>
  <c r="D239" i="8" s="1"/>
  <c r="A238" i="8"/>
  <c r="B238" i="8" s="1"/>
  <c r="A237" i="8"/>
  <c r="D237" i="8" s="1"/>
  <c r="A236" i="8"/>
  <c r="B236" i="8" s="1"/>
  <c r="A235" i="8"/>
  <c r="B235" i="8" s="1"/>
  <c r="A234" i="8"/>
  <c r="A233" i="8"/>
  <c r="A232" i="8"/>
  <c r="B232" i="8" s="1"/>
  <c r="A231" i="8"/>
  <c r="C231" i="8" s="1"/>
  <c r="A230" i="8"/>
  <c r="B230" i="8" s="1"/>
  <c r="A229" i="8"/>
  <c r="B229" i="8" s="1"/>
  <c r="A228" i="8"/>
  <c r="A227" i="8"/>
  <c r="D227" i="8" s="1"/>
  <c r="A226" i="8"/>
  <c r="A225" i="8"/>
  <c r="B225" i="8" s="1"/>
  <c r="A224" i="8"/>
  <c r="B224" i="8" s="1"/>
  <c r="A223" i="8"/>
  <c r="D223" i="8" s="1"/>
  <c r="A222" i="8"/>
  <c r="B222" i="8" s="1"/>
  <c r="A221" i="8"/>
  <c r="D221" i="8" s="1"/>
  <c r="A220" i="8"/>
  <c r="B220" i="8" s="1"/>
  <c r="A219" i="8"/>
  <c r="A218" i="8"/>
  <c r="A217" i="8"/>
  <c r="B217" i="8" s="1"/>
  <c r="A216" i="8"/>
  <c r="D216" i="8" s="1"/>
  <c r="A215" i="8"/>
  <c r="A214" i="8"/>
  <c r="D214" i="8" s="1"/>
  <c r="A213" i="8"/>
  <c r="A212" i="8"/>
  <c r="A211" i="8"/>
  <c r="A210" i="8"/>
  <c r="D210" i="8" s="1"/>
  <c r="A209" i="8"/>
  <c r="B209" i="8" s="1"/>
  <c r="A208" i="8"/>
  <c r="D208" i="8" s="1"/>
  <c r="A207" i="8"/>
  <c r="A206" i="8"/>
  <c r="A205" i="8"/>
  <c r="A204" i="8"/>
  <c r="D204" i="8" s="1"/>
  <c r="A203" i="8"/>
  <c r="A202" i="8"/>
  <c r="B202" i="8" s="1"/>
  <c r="A201" i="8"/>
  <c r="B201" i="8" s="1"/>
  <c r="A200" i="8"/>
  <c r="D200" i="8" s="1"/>
  <c r="A199" i="8"/>
  <c r="A198" i="8"/>
  <c r="D198" i="8" s="1"/>
  <c r="A197" i="8"/>
  <c r="A196" i="8"/>
  <c r="D196" i="8" s="1"/>
  <c r="A195" i="8"/>
  <c r="A194" i="8"/>
  <c r="A193" i="8"/>
  <c r="B193" i="8" s="1"/>
  <c r="A192" i="8"/>
  <c r="D192" i="8" s="1"/>
  <c r="A191" i="8"/>
  <c r="A190" i="8"/>
  <c r="C190" i="8" s="1"/>
  <c r="A189" i="8"/>
  <c r="A188" i="8"/>
  <c r="D188" i="8" s="1"/>
  <c r="A187" i="8"/>
  <c r="A186" i="8"/>
  <c r="D186" i="8" s="1"/>
  <c r="A185" i="8"/>
  <c r="D185" i="8" s="1"/>
  <c r="A184" i="8"/>
  <c r="D184" i="8" s="1"/>
  <c r="A183" i="8"/>
  <c r="D183" i="8" s="1"/>
  <c r="A182" i="8"/>
  <c r="B182" i="8" s="1"/>
  <c r="A181" i="8"/>
  <c r="D181" i="8" s="1"/>
  <c r="A180" i="8"/>
  <c r="D180" i="8" s="1"/>
  <c r="A179" i="8"/>
  <c r="D179" i="8" s="1"/>
  <c r="A178" i="8"/>
  <c r="D178" i="8" s="1"/>
  <c r="A177" i="8"/>
  <c r="D177" i="8" s="1"/>
  <c r="A176" i="8"/>
  <c r="C176" i="8" s="1"/>
  <c r="A175" i="8"/>
  <c r="D175" i="8" s="1"/>
  <c r="A174" i="8"/>
  <c r="D174" i="8" s="1"/>
  <c r="A173" i="8"/>
  <c r="D173" i="8" s="1"/>
  <c r="A172" i="8"/>
  <c r="D172" i="8" s="1"/>
  <c r="A171" i="8"/>
  <c r="A170" i="8"/>
  <c r="A169" i="8"/>
  <c r="D169" i="8" s="1"/>
  <c r="A168" i="8"/>
  <c r="A167" i="8"/>
  <c r="D167" i="8" s="1"/>
  <c r="A166" i="8"/>
  <c r="D166" i="8" s="1"/>
  <c r="A165" i="8"/>
  <c r="D165" i="8" s="1"/>
  <c r="A164" i="8"/>
  <c r="D164" i="8" s="1"/>
  <c r="A163" i="8"/>
  <c r="D163" i="8" s="1"/>
  <c r="A162" i="8"/>
  <c r="D162" i="8" s="1"/>
  <c r="A161" i="8"/>
  <c r="D161" i="8" s="1"/>
  <c r="A160" i="8"/>
  <c r="D160" i="8" s="1"/>
  <c r="A159" i="8"/>
  <c r="D159" i="8" s="1"/>
  <c r="A158" i="8"/>
  <c r="D158" i="8" s="1"/>
  <c r="A157" i="8"/>
  <c r="D157" i="8" s="1"/>
  <c r="A156" i="8"/>
  <c r="D156" i="8" s="1"/>
  <c r="A155" i="8"/>
  <c r="D155" i="8" s="1"/>
  <c r="A154" i="8"/>
  <c r="D154" i="8" s="1"/>
  <c r="A153" i="8"/>
  <c r="D153" i="8" s="1"/>
  <c r="A152" i="8"/>
  <c r="B152" i="8" s="1"/>
  <c r="A151" i="8"/>
  <c r="D151" i="8" s="1"/>
  <c r="A150" i="8"/>
  <c r="A149" i="8"/>
  <c r="D149" i="8" s="1"/>
  <c r="A148" i="8"/>
  <c r="D148" i="8" s="1"/>
  <c r="A147" i="8"/>
  <c r="D147" i="8" s="1"/>
  <c r="A146" i="8"/>
  <c r="D146" i="8" s="1"/>
  <c r="A145" i="8"/>
  <c r="D145" i="8" s="1"/>
  <c r="A144" i="8"/>
  <c r="D144" i="8" s="1"/>
  <c r="A143" i="8"/>
  <c r="D143" i="8" s="1"/>
  <c r="A142" i="8"/>
  <c r="D142" i="8" s="1"/>
  <c r="A141" i="8"/>
  <c r="D141" i="8" s="1"/>
  <c r="A140" i="8"/>
  <c r="A139" i="8"/>
  <c r="D139" i="8" s="1"/>
  <c r="A138" i="8"/>
  <c r="D138" i="8" s="1"/>
  <c r="A137" i="8"/>
  <c r="D137" i="8" s="1"/>
  <c r="A136" i="8"/>
  <c r="D136" i="8" s="1"/>
  <c r="A135" i="8"/>
  <c r="A134" i="8"/>
  <c r="A133" i="8"/>
  <c r="A132" i="8"/>
  <c r="D132" i="8" s="1"/>
  <c r="A131" i="8"/>
  <c r="A130" i="8"/>
  <c r="C130" i="8" s="1"/>
  <c r="A129" i="8"/>
  <c r="A128" i="8"/>
  <c r="D128" i="8" s="1"/>
  <c r="A127" i="8"/>
  <c r="A126" i="8"/>
  <c r="D126" i="8" s="1"/>
  <c r="A125" i="8"/>
  <c r="A124" i="8"/>
  <c r="D124" i="8" s="1"/>
  <c r="A123" i="8"/>
  <c r="A122" i="8"/>
  <c r="D122" i="8" s="1"/>
  <c r="A121" i="8"/>
  <c r="A120" i="8"/>
  <c r="A119" i="8"/>
  <c r="A118" i="8"/>
  <c r="D118" i="8" s="1"/>
  <c r="A117" i="8"/>
  <c r="A116" i="8"/>
  <c r="D116" i="8" s="1"/>
  <c r="A115" i="8"/>
  <c r="A114" i="8"/>
  <c r="D114" i="8" s="1"/>
  <c r="A113" i="8"/>
  <c r="A112" i="8"/>
  <c r="D112" i="8" s="1"/>
  <c r="A111" i="8"/>
  <c r="A110" i="8"/>
  <c r="D110" i="8" s="1"/>
  <c r="A109" i="8"/>
  <c r="A108" i="8"/>
  <c r="D108" i="8" s="1"/>
  <c r="A107" i="8"/>
  <c r="A106" i="8"/>
  <c r="D106" i="8" s="1"/>
  <c r="A105" i="8"/>
  <c r="A104" i="8"/>
  <c r="B104" i="8" s="1"/>
  <c r="A103" i="8"/>
  <c r="A102" i="8"/>
  <c r="A101" i="8"/>
  <c r="A100" i="8"/>
  <c r="D100" i="8" s="1"/>
  <c r="A99" i="8"/>
  <c r="A98" i="8"/>
  <c r="D98" i="8" s="1"/>
  <c r="A97" i="8"/>
  <c r="A96" i="8"/>
  <c r="D96" i="8" s="1"/>
  <c r="A95" i="8"/>
  <c r="A94" i="8"/>
  <c r="D94" i="8" s="1"/>
  <c r="A93" i="8"/>
  <c r="A92" i="8"/>
  <c r="A91" i="8"/>
  <c r="A90" i="8"/>
  <c r="D90" i="8" s="1"/>
  <c r="A89" i="8"/>
  <c r="A88" i="8"/>
  <c r="A87" i="8"/>
  <c r="A86" i="8"/>
  <c r="D86" i="8" s="1"/>
  <c r="A85" i="8"/>
  <c r="A84" i="8"/>
  <c r="D84" i="8" s="1"/>
  <c r="A83" i="8"/>
  <c r="A82" i="8"/>
  <c r="D82" i="8" s="1"/>
  <c r="A81" i="8"/>
  <c r="A80" i="8"/>
  <c r="D80" i="8" s="1"/>
  <c r="A79" i="8"/>
  <c r="A78" i="8"/>
  <c r="D78" i="8" s="1"/>
  <c r="A77" i="8"/>
  <c r="A76" i="8"/>
  <c r="D76" i="8" s="1"/>
  <c r="A75" i="8"/>
  <c r="A74" i="8"/>
  <c r="D74" i="8" s="1"/>
  <c r="A73" i="8"/>
  <c r="A72" i="8"/>
  <c r="C72" i="8" s="1"/>
  <c r="A71" i="8"/>
  <c r="A70" i="8"/>
  <c r="D70" i="8" s="1"/>
  <c r="A69" i="8"/>
  <c r="A68" i="8"/>
  <c r="D68" i="8" s="1"/>
  <c r="A67" i="8"/>
  <c r="A66" i="8"/>
  <c r="A65" i="8"/>
  <c r="A64" i="8"/>
  <c r="D64" i="8" s="1"/>
  <c r="A63" i="8"/>
  <c r="A62" i="8"/>
  <c r="D62" i="8" s="1"/>
  <c r="A61" i="8"/>
  <c r="A60" i="8"/>
  <c r="D60" i="8" s="1"/>
  <c r="A59" i="8"/>
  <c r="A58" i="8"/>
  <c r="D58" i="8" s="1"/>
  <c r="A57" i="8"/>
  <c r="A56" i="8"/>
  <c r="D56" i="8" s="1"/>
  <c r="A55" i="8"/>
  <c r="A54" i="8"/>
  <c r="A53" i="8"/>
  <c r="A52" i="8"/>
  <c r="D52" i="8" s="1"/>
  <c r="A51" i="8"/>
  <c r="A50" i="8"/>
  <c r="A49" i="8"/>
  <c r="A48" i="8"/>
  <c r="D48" i="8" s="1"/>
  <c r="A47" i="8"/>
  <c r="A46" i="8"/>
  <c r="D46" i="8" s="1"/>
  <c r="A45" i="8"/>
  <c r="A44" i="8"/>
  <c r="D44" i="8" s="1"/>
  <c r="A43" i="8"/>
  <c r="A42" i="8"/>
  <c r="D42" i="8" s="1"/>
  <c r="A41" i="8"/>
  <c r="A40" i="8"/>
  <c r="A39" i="8"/>
  <c r="A38" i="8"/>
  <c r="C38" i="8" s="1"/>
  <c r="A37" i="8"/>
  <c r="A36" i="8"/>
  <c r="A35" i="8"/>
  <c r="A34" i="8"/>
  <c r="C34" i="8" s="1"/>
  <c r="A33" i="8"/>
  <c r="B33" i="8" s="1"/>
  <c r="A32" i="8"/>
  <c r="C32" i="8" s="1"/>
  <c r="A31" i="8"/>
  <c r="A30" i="8"/>
  <c r="A29" i="8"/>
  <c r="A28" i="8"/>
  <c r="C28" i="8" s="1"/>
  <c r="A27" i="8"/>
  <c r="A26" i="8"/>
  <c r="C26" i="8" s="1"/>
  <c r="A25" i="8"/>
  <c r="B25" i="8" s="1"/>
  <c r="A24" i="8"/>
  <c r="A23" i="8"/>
  <c r="A22" i="8"/>
  <c r="B22" i="8" s="1"/>
  <c r="A21" i="8"/>
  <c r="A20" i="8"/>
  <c r="C20" i="8" s="1"/>
  <c r="A19" i="8"/>
  <c r="A18" i="8"/>
  <c r="A17" i="8"/>
  <c r="B17" i="8" s="1"/>
  <c r="A16" i="8"/>
  <c r="A15" i="8"/>
  <c r="B15" i="8" s="1"/>
  <c r="A14" i="8"/>
  <c r="C14" i="8" s="1"/>
  <c r="A13" i="8"/>
  <c r="A12" i="8"/>
  <c r="A11" i="8"/>
  <c r="B11" i="8" s="1"/>
  <c r="A10" i="8"/>
  <c r="A9" i="8"/>
  <c r="A8" i="8"/>
  <c r="C8" i="8" s="1"/>
  <c r="A7" i="8"/>
  <c r="C7" i="8" s="1"/>
  <c r="A6" i="8"/>
  <c r="C6" i="8" s="1"/>
  <c r="A5" i="8"/>
  <c r="B5" i="8" s="1"/>
  <c r="A4" i="8"/>
  <c r="A3" i="8"/>
  <c r="A2" i="8"/>
  <c r="C2" i="8" s="1"/>
  <c r="A499" i="7"/>
  <c r="A498" i="7"/>
  <c r="C498" i="7" s="1"/>
  <c r="A497" i="7"/>
  <c r="A496" i="7"/>
  <c r="E496" i="7" s="1"/>
  <c r="A495" i="7"/>
  <c r="E495" i="7" s="1"/>
  <c r="A494" i="7"/>
  <c r="A493" i="7"/>
  <c r="E493" i="7" s="1"/>
  <c r="A492" i="7"/>
  <c r="G492" i="7" s="1"/>
  <c r="A491" i="7"/>
  <c r="D491" i="7" s="1"/>
  <c r="A490" i="7"/>
  <c r="E490" i="7" s="1"/>
  <c r="A489" i="7"/>
  <c r="A488" i="7"/>
  <c r="A487" i="7"/>
  <c r="A486" i="7"/>
  <c r="A485" i="7"/>
  <c r="B485" i="7" s="1"/>
  <c r="A484" i="7"/>
  <c r="A483" i="7"/>
  <c r="F483" i="7" s="1"/>
  <c r="A482" i="7"/>
  <c r="B482" i="7" s="1"/>
  <c r="A481" i="7"/>
  <c r="G481" i="7" s="1"/>
  <c r="A480" i="7"/>
  <c r="E480" i="7" s="1"/>
  <c r="A479" i="7"/>
  <c r="B479" i="7" s="1"/>
  <c r="A478" i="7"/>
  <c r="F478" i="7" s="1"/>
  <c r="A477" i="7"/>
  <c r="A476" i="7"/>
  <c r="A475" i="7"/>
  <c r="A474" i="7"/>
  <c r="B474" i="7" s="1"/>
  <c r="A473" i="7"/>
  <c r="A472" i="7"/>
  <c r="A471" i="7"/>
  <c r="D471" i="7" s="1"/>
  <c r="A470" i="7"/>
  <c r="D470" i="7" s="1"/>
  <c r="A469" i="7"/>
  <c r="A468" i="7"/>
  <c r="A467" i="7"/>
  <c r="A466" i="7"/>
  <c r="D466" i="7" s="1"/>
  <c r="A465" i="7"/>
  <c r="A464" i="7"/>
  <c r="C464" i="7" s="1"/>
  <c r="A463" i="7"/>
  <c r="E463" i="7" s="1"/>
  <c r="A462" i="7"/>
  <c r="A461" i="7"/>
  <c r="D461" i="7" s="1"/>
  <c r="A460" i="7"/>
  <c r="F460" i="7" s="1"/>
  <c r="A459" i="7"/>
  <c r="C459" i="7" s="1"/>
  <c r="A458" i="7"/>
  <c r="F458" i="7" s="1"/>
  <c r="A457" i="7"/>
  <c r="F457" i="7" s="1"/>
  <c r="A456" i="7"/>
  <c r="A455" i="7"/>
  <c r="G455" i="7" s="1"/>
  <c r="A454" i="7"/>
  <c r="A453" i="7"/>
  <c r="C453" i="7" s="1"/>
  <c r="A452" i="7"/>
  <c r="F452" i="7" s="1"/>
  <c r="A451" i="7"/>
  <c r="F451" i="7" s="1"/>
  <c r="A450" i="7"/>
  <c r="C450" i="7" s="1"/>
  <c r="A449" i="7"/>
  <c r="A448" i="7"/>
  <c r="E448" i="7" s="1"/>
  <c r="A447" i="7"/>
  <c r="E447" i="7" s="1"/>
  <c r="A446" i="7"/>
  <c r="A445" i="7"/>
  <c r="G445" i="7" s="1"/>
  <c r="A444" i="7"/>
  <c r="C444" i="7" s="1"/>
  <c r="A443" i="7"/>
  <c r="B443" i="7" s="1"/>
  <c r="A442" i="7"/>
  <c r="B442" i="7" s="1"/>
  <c r="A441" i="7"/>
  <c r="A440" i="7"/>
  <c r="C440" i="7" s="1"/>
  <c r="A439" i="7"/>
  <c r="A438" i="7"/>
  <c r="E438" i="7" s="1"/>
  <c r="A437" i="7"/>
  <c r="A436" i="7"/>
  <c r="D436" i="7" s="1"/>
  <c r="A435" i="7"/>
  <c r="G435" i="7" s="1"/>
  <c r="A434" i="7"/>
  <c r="D434" i="7" s="1"/>
  <c r="A433" i="7"/>
  <c r="A432" i="7"/>
  <c r="A431" i="7"/>
  <c r="A430" i="7"/>
  <c r="B430" i="7" s="1"/>
  <c r="A429" i="7"/>
  <c r="A428" i="7"/>
  <c r="A427" i="7"/>
  <c r="A426" i="7"/>
  <c r="C426" i="7" s="1"/>
  <c r="A425" i="7"/>
  <c r="A424" i="7"/>
  <c r="D424" i="7" s="1"/>
  <c r="A423" i="7"/>
  <c r="C423" i="7" s="1"/>
  <c r="A422" i="7"/>
  <c r="A421" i="7"/>
  <c r="A420" i="7"/>
  <c r="C420" i="7" s="1"/>
  <c r="A419" i="7"/>
  <c r="C419" i="7" s="1"/>
  <c r="A418" i="7"/>
  <c r="F418" i="7" s="1"/>
  <c r="A417" i="7"/>
  <c r="A416" i="7"/>
  <c r="B416" i="7" s="1"/>
  <c r="A415" i="7"/>
  <c r="C415" i="7" s="1"/>
  <c r="A414" i="7"/>
  <c r="B414" i="7" s="1"/>
  <c r="A413" i="7"/>
  <c r="D413" i="7" s="1"/>
  <c r="A412" i="7"/>
  <c r="A411" i="7"/>
  <c r="A410" i="7"/>
  <c r="C410" i="7" s="1"/>
  <c r="A409" i="7"/>
  <c r="B409" i="7" s="1"/>
  <c r="A408" i="7"/>
  <c r="G408" i="7" s="1"/>
  <c r="A407" i="7"/>
  <c r="F407" i="7" s="1"/>
  <c r="A406" i="7"/>
  <c r="A405" i="7"/>
  <c r="G405" i="7" s="1"/>
  <c r="A404" i="7"/>
  <c r="A403" i="7"/>
  <c r="C403" i="7" s="1"/>
  <c r="A402" i="7"/>
  <c r="B402" i="7" s="1"/>
  <c r="A401" i="7"/>
  <c r="D401" i="7" s="1"/>
  <c r="A400" i="7"/>
  <c r="B400" i="7" s="1"/>
  <c r="A399" i="7"/>
  <c r="A398" i="7"/>
  <c r="C398" i="7" s="1"/>
  <c r="A397" i="7"/>
  <c r="E397" i="7" s="1"/>
  <c r="A396" i="7"/>
  <c r="G396" i="7" s="1"/>
  <c r="A395" i="7"/>
  <c r="G395" i="7" s="1"/>
  <c r="A394" i="7"/>
  <c r="A393" i="7"/>
  <c r="A392" i="7"/>
  <c r="A391" i="7"/>
  <c r="G391" i="7" s="1"/>
  <c r="A390" i="7"/>
  <c r="D390" i="7" s="1"/>
  <c r="A389" i="7"/>
  <c r="A388" i="7"/>
  <c r="C388" i="7" s="1"/>
  <c r="A387" i="7"/>
  <c r="F387" i="7" s="1"/>
  <c r="A386" i="7"/>
  <c r="C386" i="7" s="1"/>
  <c r="A385" i="7"/>
  <c r="G385" i="7" s="1"/>
  <c r="A384" i="7"/>
  <c r="E384" i="7" s="1"/>
  <c r="A383" i="7"/>
  <c r="A382" i="7"/>
  <c r="G382" i="7" s="1"/>
  <c r="A381" i="7"/>
  <c r="F381" i="7" s="1"/>
  <c r="A380" i="7"/>
  <c r="C380" i="7" s="1"/>
  <c r="A379" i="7"/>
  <c r="C379" i="7" s="1"/>
  <c r="A378" i="7"/>
  <c r="E378" i="7" s="1"/>
  <c r="A377" i="7"/>
  <c r="G377" i="7" s="1"/>
  <c r="A376" i="7"/>
  <c r="C376" i="7" s="1"/>
  <c r="A375" i="7"/>
  <c r="D375" i="7" s="1"/>
  <c r="A374" i="7"/>
  <c r="F374" i="7" s="1"/>
  <c r="A373" i="7"/>
  <c r="A372" i="7"/>
  <c r="G372" i="7" s="1"/>
  <c r="A371" i="7"/>
  <c r="B371" i="7" s="1"/>
  <c r="A370" i="7"/>
  <c r="G370" i="7" s="1"/>
  <c r="A369" i="7"/>
  <c r="A368" i="7"/>
  <c r="G368" i="7" s="1"/>
  <c r="A367" i="7"/>
  <c r="F367" i="7" s="1"/>
  <c r="A366" i="7"/>
  <c r="A365" i="7"/>
  <c r="F365" i="7" s="1"/>
  <c r="A364" i="7"/>
  <c r="A363" i="7"/>
  <c r="A362" i="7"/>
  <c r="A361" i="7"/>
  <c r="F361" i="7" s="1"/>
  <c r="A360" i="7"/>
  <c r="A359" i="7"/>
  <c r="A358" i="7"/>
  <c r="A357" i="7"/>
  <c r="A356" i="7"/>
  <c r="E356" i="7" s="1"/>
  <c r="A355" i="7"/>
  <c r="G355" i="7" s="1"/>
  <c r="A354" i="7"/>
  <c r="E354" i="7" s="1"/>
  <c r="A353" i="7"/>
  <c r="C353" i="7" s="1"/>
  <c r="A352" i="7"/>
  <c r="G352" i="7" s="1"/>
  <c r="A351" i="7"/>
  <c r="E351" i="7" s="1"/>
  <c r="A350" i="7"/>
  <c r="A349" i="7"/>
  <c r="G349" i="7" s="1"/>
  <c r="A348" i="7"/>
  <c r="F348" i="7" s="1"/>
  <c r="A347" i="7"/>
  <c r="B347" i="7" s="1"/>
  <c r="A346" i="7"/>
  <c r="C346" i="7" s="1"/>
  <c r="A345" i="7"/>
  <c r="G345" i="7" s="1"/>
  <c r="A344" i="7"/>
  <c r="A343" i="7"/>
  <c r="G343" i="7" s="1"/>
  <c r="A342" i="7"/>
  <c r="C342" i="7" s="1"/>
  <c r="A341" i="7"/>
  <c r="A340" i="7"/>
  <c r="F340" i="7" s="1"/>
  <c r="A339" i="7"/>
  <c r="E339" i="7" s="1"/>
  <c r="A338" i="7"/>
  <c r="C338" i="7" s="1"/>
  <c r="A337" i="7"/>
  <c r="A336" i="7"/>
  <c r="B336" i="7" s="1"/>
  <c r="A335" i="7"/>
  <c r="C335" i="7" s="1"/>
  <c r="A334" i="7"/>
  <c r="A333" i="7"/>
  <c r="B333" i="7" s="1"/>
  <c r="A332" i="7"/>
  <c r="A331" i="7"/>
  <c r="A330" i="7"/>
  <c r="D330" i="7" s="1"/>
  <c r="A329" i="7"/>
  <c r="A328" i="7"/>
  <c r="A327" i="7"/>
  <c r="A326" i="7"/>
  <c r="C326" i="7" s="1"/>
  <c r="A325" i="7"/>
  <c r="A324" i="7"/>
  <c r="C324" i="7" s="1"/>
  <c r="A323" i="7"/>
  <c r="A322" i="7"/>
  <c r="D322" i="7" s="1"/>
  <c r="A321" i="7"/>
  <c r="C321" i="7" s="1"/>
  <c r="A320" i="7"/>
  <c r="A319" i="7"/>
  <c r="A318" i="7"/>
  <c r="A317" i="7"/>
  <c r="G317" i="7" s="1"/>
  <c r="A316" i="7"/>
  <c r="F316" i="7" s="1"/>
  <c r="A315" i="7"/>
  <c r="C315" i="7" s="1"/>
  <c r="A314" i="7"/>
  <c r="A313" i="7"/>
  <c r="A312" i="7"/>
  <c r="A311" i="7"/>
  <c r="C311" i="7" s="1"/>
  <c r="A310" i="7"/>
  <c r="A309" i="7"/>
  <c r="A308" i="7"/>
  <c r="A307" i="7"/>
  <c r="E307" i="7" s="1"/>
  <c r="A306" i="7"/>
  <c r="A305" i="7"/>
  <c r="A304" i="7"/>
  <c r="B304" i="7" s="1"/>
  <c r="A303" i="7"/>
  <c r="F303" i="7" s="1"/>
  <c r="A302" i="7"/>
  <c r="E302" i="7" s="1"/>
  <c r="A301" i="7"/>
  <c r="A300" i="7"/>
  <c r="A299" i="7"/>
  <c r="E299" i="7" s="1"/>
  <c r="A298" i="7"/>
  <c r="A297" i="7"/>
  <c r="A296" i="7"/>
  <c r="A295" i="7"/>
  <c r="C295" i="7" s="1"/>
  <c r="A294" i="7"/>
  <c r="A293" i="7"/>
  <c r="A292" i="7"/>
  <c r="C292" i="7" s="1"/>
  <c r="A291" i="7"/>
  <c r="G291" i="7" s="1"/>
  <c r="A290" i="7"/>
  <c r="D290" i="7" s="1"/>
  <c r="A289" i="7"/>
  <c r="C289" i="7" s="1"/>
  <c r="A288" i="7"/>
  <c r="D288" i="7" s="1"/>
  <c r="A287" i="7"/>
  <c r="F287" i="7" s="1"/>
  <c r="A286" i="7"/>
  <c r="A285" i="7"/>
  <c r="G285" i="7" s="1"/>
  <c r="A284" i="7"/>
  <c r="A283" i="7"/>
  <c r="A282" i="7"/>
  <c r="A281" i="7"/>
  <c r="C281" i="7" s="1"/>
  <c r="A280" i="7"/>
  <c r="A279" i="7"/>
  <c r="D279" i="7" s="1"/>
  <c r="A278" i="7"/>
  <c r="A277" i="7"/>
  <c r="F277" i="7" s="1"/>
  <c r="A276" i="7"/>
  <c r="F276" i="7" s="1"/>
  <c r="A275" i="7"/>
  <c r="E275" i="7" s="1"/>
  <c r="A274" i="7"/>
  <c r="C274" i="7" s="1"/>
  <c r="A273" i="7"/>
  <c r="A272" i="7"/>
  <c r="A271" i="7"/>
  <c r="G271" i="7" s="1"/>
  <c r="A270" i="7"/>
  <c r="A269" i="7"/>
  <c r="C269" i="7" s="1"/>
  <c r="A268" i="7"/>
  <c r="A267" i="7"/>
  <c r="A266" i="7"/>
  <c r="D266" i="7" s="1"/>
  <c r="A265" i="7"/>
  <c r="A264" i="7"/>
  <c r="A263" i="7"/>
  <c r="G263" i="7" s="1"/>
  <c r="A262" i="7"/>
  <c r="A261" i="7"/>
  <c r="G261" i="7" s="1"/>
  <c r="A260" i="7"/>
  <c r="D260" i="7" s="1"/>
  <c r="A259" i="7"/>
  <c r="A258" i="7"/>
  <c r="G258" i="7" s="1"/>
  <c r="A257" i="7"/>
  <c r="F257" i="7" s="1"/>
  <c r="A256" i="7"/>
  <c r="D256" i="7" s="1"/>
  <c r="A255" i="7"/>
  <c r="C255" i="7" s="1"/>
  <c r="A254" i="7"/>
  <c r="B254" i="7" s="1"/>
  <c r="A253" i="7"/>
  <c r="G253" i="7" s="1"/>
  <c r="A252" i="7"/>
  <c r="B252" i="7" s="1"/>
  <c r="A251" i="7"/>
  <c r="C251" i="7" s="1"/>
  <c r="A250" i="7"/>
  <c r="G250" i="7" s="1"/>
  <c r="A249" i="7"/>
  <c r="A248" i="7"/>
  <c r="D248" i="7" s="1"/>
  <c r="A247" i="7"/>
  <c r="A246" i="7"/>
  <c r="B246" i="7" s="1"/>
  <c r="A245" i="7"/>
  <c r="A244" i="7"/>
  <c r="D244" i="7" s="1"/>
  <c r="A243" i="7"/>
  <c r="A242" i="7"/>
  <c r="A241" i="7"/>
  <c r="G241" i="7" s="1"/>
  <c r="A240" i="7"/>
  <c r="G240" i="7" s="1"/>
  <c r="A239" i="7"/>
  <c r="C239" i="7" s="1"/>
  <c r="A238" i="7"/>
  <c r="B238" i="7" s="1"/>
  <c r="A237" i="7"/>
  <c r="A236" i="7"/>
  <c r="B236" i="7" s="1"/>
  <c r="A235" i="7"/>
  <c r="C235" i="7" s="1"/>
  <c r="A234" i="7"/>
  <c r="G234" i="7" s="1"/>
  <c r="A233" i="7"/>
  <c r="A232" i="7"/>
  <c r="A231" i="7"/>
  <c r="C231" i="7" s="1"/>
  <c r="A230" i="7"/>
  <c r="B230" i="7" s="1"/>
  <c r="A229" i="7"/>
  <c r="A228" i="7"/>
  <c r="D228" i="7" s="1"/>
  <c r="A227" i="7"/>
  <c r="A226" i="7"/>
  <c r="A225" i="7"/>
  <c r="A224" i="7"/>
  <c r="A223" i="7"/>
  <c r="C223" i="7" s="1"/>
  <c r="A222" i="7"/>
  <c r="B222" i="7" s="1"/>
  <c r="A221" i="7"/>
  <c r="A220" i="7"/>
  <c r="B220" i="7" s="1"/>
  <c r="A219" i="7"/>
  <c r="C219" i="7" s="1"/>
  <c r="A218" i="7"/>
  <c r="G218" i="7" s="1"/>
  <c r="A217" i="7"/>
  <c r="A216" i="7"/>
  <c r="D216" i="7" s="1"/>
  <c r="A215" i="7"/>
  <c r="E215" i="7" s="1"/>
  <c r="A214" i="7"/>
  <c r="A213" i="7"/>
  <c r="C213" i="7" s="1"/>
  <c r="A212" i="7"/>
  <c r="D212" i="7" s="1"/>
  <c r="A211" i="7"/>
  <c r="A210" i="7"/>
  <c r="A209" i="7"/>
  <c r="G209" i="7" s="1"/>
  <c r="A208" i="7"/>
  <c r="D208" i="7" s="1"/>
  <c r="A207" i="7"/>
  <c r="C207" i="7" s="1"/>
  <c r="A206" i="7"/>
  <c r="A205" i="7"/>
  <c r="F205" i="7" s="1"/>
  <c r="A204" i="7"/>
  <c r="B204" i="7" s="1"/>
  <c r="A203" i="7"/>
  <c r="C203" i="7" s="1"/>
  <c r="A202" i="7"/>
  <c r="G202" i="7" s="1"/>
  <c r="A201" i="7"/>
  <c r="A200" i="7"/>
  <c r="D200" i="7" s="1"/>
  <c r="A199" i="7"/>
  <c r="C199" i="7" s="1"/>
  <c r="A198" i="7"/>
  <c r="B198" i="7" s="1"/>
  <c r="A197" i="7"/>
  <c r="G197" i="7" s="1"/>
  <c r="A196" i="7"/>
  <c r="D196" i="7" s="1"/>
  <c r="A195" i="7"/>
  <c r="A194" i="7"/>
  <c r="G194" i="7" s="1"/>
  <c r="A193" i="7"/>
  <c r="G193" i="7" s="1"/>
  <c r="A192" i="7"/>
  <c r="A191" i="7"/>
  <c r="A190" i="7"/>
  <c r="A189" i="7"/>
  <c r="A188" i="7"/>
  <c r="B188" i="7" s="1"/>
  <c r="A187" i="7"/>
  <c r="A186" i="7"/>
  <c r="B186" i="7" s="1"/>
  <c r="A185" i="7"/>
  <c r="A184" i="7"/>
  <c r="A183" i="7"/>
  <c r="F183" i="7" s="1"/>
  <c r="A182" i="7"/>
  <c r="A181" i="7"/>
  <c r="A180" i="7"/>
  <c r="A179" i="7"/>
  <c r="D179" i="7" s="1"/>
  <c r="A178" i="7"/>
  <c r="D178" i="7" s="1"/>
  <c r="A177" i="7"/>
  <c r="A176" i="7"/>
  <c r="G176" i="7" s="1"/>
  <c r="A175" i="7"/>
  <c r="G175" i="7" s="1"/>
  <c r="A174" i="7"/>
  <c r="A173" i="7"/>
  <c r="B173" i="7" s="1"/>
  <c r="A172" i="7"/>
  <c r="G172" i="7" s="1"/>
  <c r="A171" i="7"/>
  <c r="A170" i="7"/>
  <c r="G170" i="7" s="1"/>
  <c r="A169" i="7"/>
  <c r="B169" i="7" s="1"/>
  <c r="A168" i="7"/>
  <c r="A167" i="7"/>
  <c r="F167" i="7" s="1"/>
  <c r="A166" i="7"/>
  <c r="F166" i="7" s="1"/>
  <c r="A165" i="7"/>
  <c r="A164" i="7"/>
  <c r="A163" i="7"/>
  <c r="D163" i="7" s="1"/>
  <c r="A162" i="7"/>
  <c r="G162" i="7" s="1"/>
  <c r="A161" i="7"/>
  <c r="A160" i="7"/>
  <c r="G160" i="7" s="1"/>
  <c r="A159" i="7"/>
  <c r="A158" i="7"/>
  <c r="G158" i="7" s="1"/>
  <c r="A157" i="7"/>
  <c r="C157" i="7" s="1"/>
  <c r="A156" i="7"/>
  <c r="D156" i="7" s="1"/>
  <c r="A155" i="7"/>
  <c r="A154" i="7"/>
  <c r="A153" i="7"/>
  <c r="G153" i="7" s="1"/>
  <c r="A152" i="7"/>
  <c r="E152" i="7" s="1"/>
  <c r="A151" i="7"/>
  <c r="C151" i="7" s="1"/>
  <c r="A150" i="7"/>
  <c r="A149" i="7"/>
  <c r="F149" i="7" s="1"/>
  <c r="A148" i="7"/>
  <c r="G148" i="7" s="1"/>
  <c r="A147" i="7"/>
  <c r="D147" i="7" s="1"/>
  <c r="A146" i="7"/>
  <c r="A145" i="7"/>
  <c r="A144" i="7"/>
  <c r="G144" i="7" s="1"/>
  <c r="A143" i="7"/>
  <c r="E143" i="7" s="1"/>
  <c r="A142" i="7"/>
  <c r="B142" i="7" s="1"/>
  <c r="A141" i="7"/>
  <c r="A140" i="7"/>
  <c r="C140" i="7" s="1"/>
  <c r="A139" i="7"/>
  <c r="C139" i="7" s="1"/>
  <c r="A138" i="7"/>
  <c r="A137" i="7"/>
  <c r="E137" i="7" s="1"/>
  <c r="A136" i="7"/>
  <c r="C136" i="7" s="1"/>
  <c r="A135" i="7"/>
  <c r="G135" i="7" s="1"/>
  <c r="A134" i="7"/>
  <c r="A133" i="7"/>
  <c r="G133" i="7" s="1"/>
  <c r="A132" i="7"/>
  <c r="D132" i="7" s="1"/>
  <c r="A131" i="7"/>
  <c r="C131" i="7" s="1"/>
  <c r="A130" i="7"/>
  <c r="C130" i="7" s="1"/>
  <c r="A129" i="7"/>
  <c r="A128" i="7"/>
  <c r="A127" i="7"/>
  <c r="D127" i="7" s="1"/>
  <c r="A126" i="7"/>
  <c r="G126" i="7" s="1"/>
  <c r="A125" i="7"/>
  <c r="F125" i="7" s="1"/>
  <c r="A124" i="7"/>
  <c r="A123" i="7"/>
  <c r="A122" i="7"/>
  <c r="C122" i="7" s="1"/>
  <c r="A121" i="7"/>
  <c r="B121" i="7" s="1"/>
  <c r="A120" i="7"/>
  <c r="A119" i="7"/>
  <c r="A118" i="7"/>
  <c r="D118" i="7" s="1"/>
  <c r="A117" i="7"/>
  <c r="F117" i="7" s="1"/>
  <c r="A116" i="7"/>
  <c r="A115" i="7"/>
  <c r="A114" i="7"/>
  <c r="F114" i="7" s="1"/>
  <c r="A113" i="7"/>
  <c r="C113" i="7" s="1"/>
  <c r="A112" i="7"/>
  <c r="A111" i="7"/>
  <c r="A110" i="7"/>
  <c r="G110" i="7" s="1"/>
  <c r="A109" i="7"/>
  <c r="A108" i="7"/>
  <c r="C108" i="7" s="1"/>
  <c r="A107" i="7"/>
  <c r="B107" i="7" s="1"/>
  <c r="A106" i="7"/>
  <c r="A105" i="7"/>
  <c r="B105" i="7" s="1"/>
  <c r="A104" i="7"/>
  <c r="A103" i="7"/>
  <c r="E103" i="7" s="1"/>
  <c r="A102" i="7"/>
  <c r="D102" i="7" s="1"/>
  <c r="A101" i="7"/>
  <c r="C101" i="7" s="1"/>
  <c r="A100" i="7"/>
  <c r="B100" i="7" s="1"/>
  <c r="A99" i="7"/>
  <c r="E99" i="7" s="1"/>
  <c r="A98" i="7"/>
  <c r="B98" i="7" s="1"/>
  <c r="A97" i="7"/>
  <c r="A96" i="7"/>
  <c r="F96" i="7" s="1"/>
  <c r="A95" i="7"/>
  <c r="E95" i="7" s="1"/>
  <c r="A94" i="7"/>
  <c r="D94" i="7" s="1"/>
  <c r="A93" i="7"/>
  <c r="G93" i="7" s="1"/>
  <c r="A92" i="7"/>
  <c r="B92" i="7" s="1"/>
  <c r="A91" i="7"/>
  <c r="A90" i="7"/>
  <c r="A89" i="7"/>
  <c r="D89" i="7" s="1"/>
  <c r="A88" i="7"/>
  <c r="F88" i="7" s="1"/>
  <c r="A87" i="7"/>
  <c r="E87" i="7" s="1"/>
  <c r="A86" i="7"/>
  <c r="A85" i="7"/>
  <c r="C85" i="7" s="1"/>
  <c r="A84" i="7"/>
  <c r="A83" i="7"/>
  <c r="A82" i="7"/>
  <c r="G82" i="7" s="1"/>
  <c r="A81" i="7"/>
  <c r="G81" i="7" s="1"/>
  <c r="A80" i="7"/>
  <c r="A79" i="7"/>
  <c r="G79" i="7" s="1"/>
  <c r="A78" i="7"/>
  <c r="D78" i="7" s="1"/>
  <c r="A77" i="7"/>
  <c r="A76" i="7"/>
  <c r="B76" i="7" s="1"/>
  <c r="A75" i="7"/>
  <c r="G75" i="7" s="1"/>
  <c r="A74" i="7"/>
  <c r="E74" i="7" s="1"/>
  <c r="A73" i="7"/>
  <c r="G73" i="7" s="1"/>
  <c r="A72" i="7"/>
  <c r="A71" i="7"/>
  <c r="A70" i="7"/>
  <c r="A69" i="7"/>
  <c r="C69" i="7" s="1"/>
  <c r="A68" i="7"/>
  <c r="B68" i="7" s="1"/>
  <c r="A67" i="7"/>
  <c r="A66" i="7"/>
  <c r="B66" i="7" s="1"/>
  <c r="A65" i="7"/>
  <c r="G65" i="7" s="1"/>
  <c r="A64" i="7"/>
  <c r="F64" i="7" s="1"/>
  <c r="A63" i="7"/>
  <c r="A62" i="7"/>
  <c r="D62" i="7" s="1"/>
  <c r="A61" i="7"/>
  <c r="C61" i="7" s="1"/>
  <c r="A60" i="7"/>
  <c r="B60" i="7" s="1"/>
  <c r="A59" i="7"/>
  <c r="G59" i="7" s="1"/>
  <c r="A58" i="7"/>
  <c r="E58" i="7" s="1"/>
  <c r="A57" i="7"/>
  <c r="A56" i="7"/>
  <c r="A55" i="7"/>
  <c r="E55" i="7" s="1"/>
  <c r="A54" i="7"/>
  <c r="D54" i="7" s="1"/>
  <c r="A53" i="7"/>
  <c r="B52" i="7"/>
  <c r="C51" i="7"/>
  <c r="D46" i="7"/>
  <c r="C45" i="7"/>
  <c r="B44" i="7"/>
  <c r="C42" i="7"/>
  <c r="D38" i="7"/>
  <c r="C37" i="7"/>
  <c r="B36" i="7"/>
  <c r="B34" i="7"/>
  <c r="C29" i="7"/>
  <c r="B28" i="7"/>
  <c r="B27" i="7"/>
  <c r="D22" i="7"/>
  <c r="B20" i="7"/>
  <c r="B19" i="7"/>
  <c r="D15" i="7"/>
  <c r="D14" i="7"/>
  <c r="C13" i="7"/>
  <c r="B12" i="7"/>
  <c r="D6" i="7"/>
  <c r="C5" i="7"/>
  <c r="B4" i="7"/>
  <c r="D3" i="7"/>
  <c r="B2" i="7"/>
  <c r="H4" i="7" s="1"/>
  <c r="G999" i="6"/>
  <c r="G998" i="6"/>
  <c r="G997" i="6"/>
  <c r="G996" i="6"/>
  <c r="G995" i="6"/>
  <c r="G994" i="6"/>
  <c r="G993" i="6"/>
  <c r="G992" i="6"/>
  <c r="G991" i="6"/>
  <c r="G990" i="6"/>
  <c r="G989" i="6"/>
  <c r="G988" i="6"/>
  <c r="G987" i="6"/>
  <c r="G986" i="6"/>
  <c r="G985" i="6"/>
  <c r="G984" i="6"/>
  <c r="G983" i="6"/>
  <c r="G982" i="6"/>
  <c r="G981" i="6"/>
  <c r="G980" i="6"/>
  <c r="G979" i="6"/>
  <c r="G978" i="6"/>
  <c r="G977" i="6"/>
  <c r="G976" i="6"/>
  <c r="G975" i="6"/>
  <c r="G974" i="6"/>
  <c r="G973" i="6"/>
  <c r="G972" i="6"/>
  <c r="G971" i="6"/>
  <c r="G970" i="6"/>
  <c r="G969" i="6"/>
  <c r="G968" i="6"/>
  <c r="G967" i="6"/>
  <c r="G966" i="6"/>
  <c r="G965" i="6"/>
  <c r="G964" i="6"/>
  <c r="G963" i="6"/>
  <c r="G962" i="6"/>
  <c r="G961" i="6"/>
  <c r="G960" i="6"/>
  <c r="G959" i="6"/>
  <c r="G958" i="6"/>
  <c r="G957" i="6"/>
  <c r="G956" i="6"/>
  <c r="G955" i="6"/>
  <c r="G954" i="6"/>
  <c r="G953" i="6"/>
  <c r="G952" i="6"/>
  <c r="G951" i="6"/>
  <c r="G950" i="6"/>
  <c r="G949" i="6"/>
  <c r="G948" i="6"/>
  <c r="G947" i="6"/>
  <c r="G946" i="6"/>
  <c r="G945" i="6"/>
  <c r="G944" i="6"/>
  <c r="G943" i="6"/>
  <c r="G942" i="6"/>
  <c r="G941" i="6"/>
  <c r="G940" i="6"/>
  <c r="G939" i="6"/>
  <c r="G938" i="6"/>
  <c r="G937" i="6"/>
  <c r="G936" i="6"/>
  <c r="G935" i="6"/>
  <c r="G934" i="6"/>
  <c r="G933" i="6"/>
  <c r="G932" i="6"/>
  <c r="G931" i="6"/>
  <c r="G930" i="6"/>
  <c r="G929" i="6"/>
  <c r="G928" i="6"/>
  <c r="G927" i="6"/>
  <c r="G926" i="6"/>
  <c r="G925" i="6"/>
  <c r="G924" i="6"/>
  <c r="G923" i="6"/>
  <c r="G922" i="6"/>
  <c r="G921" i="6"/>
  <c r="G920" i="6"/>
  <c r="G919" i="6"/>
  <c r="G918" i="6"/>
  <c r="G917" i="6"/>
  <c r="G916" i="6"/>
  <c r="G915" i="6"/>
  <c r="G914" i="6"/>
  <c r="G913" i="6"/>
  <c r="G912" i="6"/>
  <c r="G911" i="6"/>
  <c r="G910" i="6"/>
  <c r="G909" i="6"/>
  <c r="G908" i="6"/>
  <c r="G907" i="6"/>
  <c r="G906" i="6"/>
  <c r="G905" i="6"/>
  <c r="G904" i="6"/>
  <c r="G903" i="6"/>
  <c r="G902" i="6"/>
  <c r="G901" i="6"/>
  <c r="G900" i="6"/>
  <c r="G899" i="6"/>
  <c r="G898" i="6"/>
  <c r="G897" i="6"/>
  <c r="G896" i="6"/>
  <c r="G895" i="6"/>
  <c r="G894" i="6"/>
  <c r="G893" i="6"/>
  <c r="G892" i="6"/>
  <c r="G891" i="6"/>
  <c r="G890" i="6"/>
  <c r="G889" i="6"/>
  <c r="G888" i="6"/>
  <c r="G887" i="6"/>
  <c r="G886" i="6"/>
  <c r="G885" i="6"/>
  <c r="G884" i="6"/>
  <c r="G883" i="6"/>
  <c r="G882" i="6"/>
  <c r="G881" i="6"/>
  <c r="G880" i="6"/>
  <c r="G879" i="6"/>
  <c r="G878" i="6"/>
  <c r="G877" i="6"/>
  <c r="G876" i="6"/>
  <c r="G875" i="6"/>
  <c r="G874" i="6"/>
  <c r="G873" i="6"/>
  <c r="G872" i="6"/>
  <c r="G871" i="6"/>
  <c r="G870" i="6"/>
  <c r="G869" i="6"/>
  <c r="G868" i="6"/>
  <c r="G867" i="6"/>
  <c r="G866" i="6"/>
  <c r="G865" i="6"/>
  <c r="G864" i="6"/>
  <c r="G863" i="6"/>
  <c r="G862" i="6"/>
  <c r="G861" i="6"/>
  <c r="G860" i="6"/>
  <c r="G859" i="6"/>
  <c r="G858" i="6"/>
  <c r="G857" i="6"/>
  <c r="G856" i="6"/>
  <c r="G855" i="6"/>
  <c r="G854" i="6"/>
  <c r="G853" i="6"/>
  <c r="G852" i="6"/>
  <c r="G851" i="6"/>
  <c r="G850" i="6"/>
  <c r="G849" i="6"/>
  <c r="G848" i="6"/>
  <c r="G847" i="6"/>
  <c r="G846" i="6"/>
  <c r="G845" i="6"/>
  <c r="G844" i="6"/>
  <c r="G843" i="6"/>
  <c r="G842" i="6"/>
  <c r="G841" i="6"/>
  <c r="G840" i="6"/>
  <c r="G839" i="6"/>
  <c r="G838" i="6"/>
  <c r="G837" i="6"/>
  <c r="G836" i="6"/>
  <c r="G835" i="6"/>
  <c r="G834" i="6"/>
  <c r="G833" i="6"/>
  <c r="G832" i="6"/>
  <c r="G831" i="6"/>
  <c r="G830" i="6"/>
  <c r="G829" i="6"/>
  <c r="G828" i="6"/>
  <c r="G827" i="6"/>
  <c r="G826" i="6"/>
  <c r="G825" i="6"/>
  <c r="G824" i="6"/>
  <c r="G823" i="6"/>
  <c r="G822" i="6"/>
  <c r="G821" i="6"/>
  <c r="G820" i="6"/>
  <c r="G819" i="6"/>
  <c r="G818" i="6"/>
  <c r="G817" i="6"/>
  <c r="G816" i="6"/>
  <c r="G815" i="6"/>
  <c r="G814" i="6"/>
  <c r="G813" i="6"/>
  <c r="G812" i="6"/>
  <c r="G811" i="6"/>
  <c r="G810" i="6"/>
  <c r="G809" i="6"/>
  <c r="G808" i="6"/>
  <c r="G807" i="6"/>
  <c r="G806" i="6"/>
  <c r="G805" i="6"/>
  <c r="G804" i="6"/>
  <c r="G803" i="6"/>
  <c r="G802" i="6"/>
  <c r="G801" i="6"/>
  <c r="G800" i="6"/>
  <c r="G799" i="6"/>
  <c r="G798" i="6"/>
  <c r="G797" i="6"/>
  <c r="G796" i="6"/>
  <c r="G795" i="6"/>
  <c r="G794" i="6"/>
  <c r="G793" i="6"/>
  <c r="G792" i="6"/>
  <c r="G791" i="6"/>
  <c r="G790" i="6"/>
  <c r="G789" i="6"/>
  <c r="G788" i="6"/>
  <c r="G787" i="6"/>
  <c r="G786" i="6"/>
  <c r="G785" i="6"/>
  <c r="G784" i="6"/>
  <c r="G783" i="6"/>
  <c r="G782" i="6"/>
  <c r="G781" i="6"/>
  <c r="G780" i="6"/>
  <c r="G779" i="6"/>
  <c r="G778" i="6"/>
  <c r="G777" i="6"/>
  <c r="G776" i="6"/>
  <c r="G775" i="6"/>
  <c r="G774" i="6"/>
  <c r="G773" i="6"/>
  <c r="G772" i="6"/>
  <c r="G771" i="6"/>
  <c r="G770" i="6"/>
  <c r="G769" i="6"/>
  <c r="G768" i="6"/>
  <c r="G767" i="6"/>
  <c r="G766" i="6"/>
  <c r="G765" i="6"/>
  <c r="G764" i="6"/>
  <c r="G763" i="6"/>
  <c r="G762" i="6"/>
  <c r="G761" i="6"/>
  <c r="G760" i="6"/>
  <c r="G759" i="6"/>
  <c r="G758" i="6"/>
  <c r="G757" i="6"/>
  <c r="G756" i="6"/>
  <c r="G755" i="6"/>
  <c r="G754" i="6"/>
  <c r="G753" i="6"/>
  <c r="G752" i="6"/>
  <c r="G751" i="6"/>
  <c r="G750" i="6"/>
  <c r="G749" i="6"/>
  <c r="G748" i="6"/>
  <c r="G747" i="6"/>
  <c r="G746" i="6"/>
  <c r="G745" i="6"/>
  <c r="G744" i="6"/>
  <c r="G743" i="6"/>
  <c r="G742" i="6"/>
  <c r="G741" i="6"/>
  <c r="G740" i="6"/>
  <c r="G739" i="6"/>
  <c r="G738" i="6"/>
  <c r="G737" i="6"/>
  <c r="G736" i="6"/>
  <c r="G735" i="6"/>
  <c r="G734" i="6"/>
  <c r="G733" i="6"/>
  <c r="G732" i="6"/>
  <c r="G731" i="6"/>
  <c r="G730" i="6"/>
  <c r="G729" i="6"/>
  <c r="G728" i="6"/>
  <c r="G727" i="6"/>
  <c r="G726" i="6"/>
  <c r="G725" i="6"/>
  <c r="G724" i="6"/>
  <c r="G723" i="6"/>
  <c r="G722" i="6"/>
  <c r="G721" i="6"/>
  <c r="G720" i="6"/>
  <c r="G719" i="6"/>
  <c r="G718" i="6"/>
  <c r="G717" i="6"/>
  <c r="G716" i="6"/>
  <c r="G715" i="6"/>
  <c r="G714" i="6"/>
  <c r="G713" i="6"/>
  <c r="G712" i="6"/>
  <c r="G711" i="6"/>
  <c r="G710" i="6"/>
  <c r="G709" i="6"/>
  <c r="G708" i="6"/>
  <c r="G707" i="6"/>
  <c r="G706" i="6"/>
  <c r="G705" i="6"/>
  <c r="G704" i="6"/>
  <c r="G703" i="6"/>
  <c r="G702" i="6"/>
  <c r="G701" i="6"/>
  <c r="G700" i="6"/>
  <c r="G699" i="6"/>
  <c r="G698" i="6"/>
  <c r="G697" i="6"/>
  <c r="G696" i="6"/>
  <c r="G695" i="6"/>
  <c r="G694" i="6"/>
  <c r="G693" i="6"/>
  <c r="G692" i="6"/>
  <c r="G691" i="6"/>
  <c r="G690" i="6"/>
  <c r="G689" i="6"/>
  <c r="G688" i="6"/>
  <c r="G687" i="6"/>
  <c r="G686" i="6"/>
  <c r="G685" i="6"/>
  <c r="G684" i="6"/>
  <c r="G683" i="6"/>
  <c r="G682" i="6"/>
  <c r="G681" i="6"/>
  <c r="G680" i="6"/>
  <c r="G679" i="6"/>
  <c r="G678" i="6"/>
  <c r="G677" i="6"/>
  <c r="G676" i="6"/>
  <c r="G675" i="6"/>
  <c r="G674" i="6"/>
  <c r="G673" i="6"/>
  <c r="G672" i="6"/>
  <c r="G671" i="6"/>
  <c r="G670" i="6"/>
  <c r="G669" i="6"/>
  <c r="G668" i="6"/>
  <c r="G667" i="6"/>
  <c r="G666" i="6"/>
  <c r="G665" i="6"/>
  <c r="G664" i="6"/>
  <c r="G663" i="6"/>
  <c r="G662" i="6"/>
  <c r="G661" i="6"/>
  <c r="G660" i="6"/>
  <c r="G659" i="6"/>
  <c r="G658" i="6"/>
  <c r="G657" i="6"/>
  <c r="G656" i="6"/>
  <c r="G655" i="6"/>
  <c r="G654" i="6"/>
  <c r="G653" i="6"/>
  <c r="G652" i="6"/>
  <c r="G651" i="6"/>
  <c r="G650" i="6"/>
  <c r="G649" i="6"/>
  <c r="G648" i="6"/>
  <c r="G647" i="6"/>
  <c r="G646" i="6"/>
  <c r="G645" i="6"/>
  <c r="G644" i="6"/>
  <c r="G643" i="6"/>
  <c r="G642" i="6"/>
  <c r="G641" i="6"/>
  <c r="G640" i="6"/>
  <c r="G639" i="6"/>
  <c r="G638" i="6"/>
  <c r="G637" i="6"/>
  <c r="G636" i="6"/>
  <c r="G635" i="6"/>
  <c r="G634" i="6"/>
  <c r="G633" i="6"/>
  <c r="G632" i="6"/>
  <c r="G631" i="6"/>
  <c r="G630" i="6"/>
  <c r="G629" i="6"/>
  <c r="G628" i="6"/>
  <c r="G627" i="6"/>
  <c r="G626" i="6"/>
  <c r="G625" i="6"/>
  <c r="G624" i="6"/>
  <c r="G623" i="6"/>
  <c r="G622" i="6"/>
  <c r="G621" i="6"/>
  <c r="G620" i="6"/>
  <c r="G619" i="6"/>
  <c r="G618" i="6"/>
  <c r="G617" i="6"/>
  <c r="G616" i="6"/>
  <c r="G615" i="6"/>
  <c r="G614" i="6"/>
  <c r="G613" i="6"/>
  <c r="G612" i="6"/>
  <c r="G611" i="6"/>
  <c r="G610" i="6"/>
  <c r="G609" i="6"/>
  <c r="G608" i="6"/>
  <c r="G607" i="6"/>
  <c r="G606" i="6"/>
  <c r="G605" i="6"/>
  <c r="G604" i="6"/>
  <c r="G603" i="6"/>
  <c r="G602" i="6"/>
  <c r="G601" i="6"/>
  <c r="G600" i="6"/>
  <c r="G599" i="6"/>
  <c r="G598" i="6"/>
  <c r="G597" i="6"/>
  <c r="G596" i="6"/>
  <c r="G595" i="6"/>
  <c r="G594" i="6"/>
  <c r="G593" i="6"/>
  <c r="G592" i="6"/>
  <c r="G591" i="6"/>
  <c r="G590" i="6"/>
  <c r="G589" i="6"/>
  <c r="G588" i="6"/>
  <c r="G587" i="6"/>
  <c r="G586" i="6"/>
  <c r="G585" i="6"/>
  <c r="G584" i="6"/>
  <c r="G583" i="6"/>
  <c r="G582" i="6"/>
  <c r="G581" i="6"/>
  <c r="G580" i="6"/>
  <c r="G579" i="6"/>
  <c r="G578" i="6"/>
  <c r="G577" i="6"/>
  <c r="G576" i="6"/>
  <c r="G575" i="6"/>
  <c r="G574" i="6"/>
  <c r="G573" i="6"/>
  <c r="G572" i="6"/>
  <c r="G571" i="6"/>
  <c r="G570" i="6"/>
  <c r="G569" i="6"/>
  <c r="G568" i="6"/>
  <c r="G567" i="6"/>
  <c r="G566" i="6"/>
  <c r="G565" i="6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G531" i="6"/>
  <c r="G530" i="6"/>
  <c r="G529" i="6"/>
  <c r="G528" i="6"/>
  <c r="G527" i="6"/>
  <c r="G526" i="6"/>
  <c r="G525" i="6"/>
  <c r="G524" i="6"/>
  <c r="G523" i="6"/>
  <c r="G522" i="6"/>
  <c r="G521" i="6"/>
  <c r="G520" i="6"/>
  <c r="G519" i="6"/>
  <c r="G518" i="6"/>
  <c r="G517" i="6"/>
  <c r="G516" i="6"/>
  <c r="G515" i="6"/>
  <c r="G514" i="6"/>
  <c r="G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G497" i="6"/>
  <c r="G496" i="6"/>
  <c r="G495" i="6"/>
  <c r="G494" i="6"/>
  <c r="G493" i="6"/>
  <c r="G492" i="6"/>
  <c r="G491" i="6"/>
  <c r="G490" i="6"/>
  <c r="G489" i="6"/>
  <c r="G488" i="6"/>
  <c r="G487" i="6"/>
  <c r="G486" i="6"/>
  <c r="G485" i="6"/>
  <c r="G484" i="6"/>
  <c r="G483" i="6"/>
  <c r="G482" i="6"/>
  <c r="G481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446" i="6"/>
  <c r="G445" i="6"/>
  <c r="G444" i="6"/>
  <c r="G443" i="6"/>
  <c r="G442" i="6"/>
  <c r="G441" i="6"/>
  <c r="G440" i="6"/>
  <c r="G439" i="6"/>
  <c r="G438" i="6"/>
  <c r="G437" i="6"/>
  <c r="G436" i="6"/>
  <c r="G435" i="6"/>
  <c r="G434" i="6"/>
  <c r="G433" i="6"/>
  <c r="G432" i="6"/>
  <c r="G431" i="6"/>
  <c r="G430" i="6"/>
  <c r="G429" i="6"/>
  <c r="G428" i="6"/>
  <c r="G427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C102" i="7" l="1"/>
  <c r="D426" i="7"/>
  <c r="C457" i="7"/>
  <c r="B114" i="7"/>
  <c r="B275" i="7"/>
  <c r="C378" i="7"/>
  <c r="E207" i="7"/>
  <c r="C396" i="7"/>
  <c r="D103" i="7"/>
  <c r="B117" i="7"/>
  <c r="B51" i="7"/>
  <c r="B58" i="7"/>
  <c r="F173" i="7"/>
  <c r="B483" i="7"/>
  <c r="F490" i="7"/>
  <c r="F496" i="7"/>
  <c r="B20" i="8"/>
  <c r="D20" i="8" s="1"/>
  <c r="C202" i="8"/>
  <c r="E452" i="7"/>
  <c r="C495" i="7"/>
  <c r="B196" i="8"/>
  <c r="D202" i="8"/>
  <c r="G257" i="7"/>
  <c r="B478" i="7"/>
  <c r="B88" i="7"/>
  <c r="E167" i="7"/>
  <c r="E322" i="7"/>
  <c r="D396" i="7"/>
  <c r="B410" i="7"/>
  <c r="G452" i="7"/>
  <c r="C182" i="8"/>
  <c r="F76" i="7"/>
  <c r="D175" i="7"/>
  <c r="E205" i="7"/>
  <c r="D453" i="7"/>
  <c r="C27" i="7"/>
  <c r="G149" i="7"/>
  <c r="F200" i="7"/>
  <c r="E213" i="7"/>
  <c r="F279" i="7"/>
  <c r="F356" i="7"/>
  <c r="G407" i="7"/>
  <c r="B44" i="8"/>
  <c r="C445" i="8"/>
  <c r="F213" i="7"/>
  <c r="C44" i="8"/>
  <c r="B137" i="7"/>
  <c r="B253" i="7"/>
  <c r="E335" i="7"/>
  <c r="B396" i="7"/>
  <c r="B438" i="7"/>
  <c r="F445" i="7"/>
  <c r="B452" i="7"/>
  <c r="D48" i="7"/>
  <c r="E66" i="7"/>
  <c r="E85" i="7"/>
  <c r="E98" i="7"/>
  <c r="F137" i="7"/>
  <c r="G230" i="7"/>
  <c r="F443" i="7"/>
  <c r="B460" i="7"/>
  <c r="B185" i="8"/>
  <c r="D499" i="8"/>
  <c r="C460" i="7"/>
  <c r="D222" i="8"/>
  <c r="C237" i="8"/>
  <c r="E62" i="7"/>
  <c r="C99" i="7"/>
  <c r="D125" i="7"/>
  <c r="E396" i="7"/>
  <c r="F438" i="7"/>
  <c r="E460" i="7"/>
  <c r="D457" i="8"/>
  <c r="G62" i="7"/>
  <c r="G99" i="7"/>
  <c r="E173" i="7"/>
  <c r="D254" i="7"/>
  <c r="G266" i="7"/>
  <c r="F396" i="7"/>
  <c r="C471" i="8"/>
  <c r="B82" i="8"/>
  <c r="C467" i="8"/>
  <c r="B59" i="7"/>
  <c r="F142" i="7"/>
  <c r="F275" i="7"/>
  <c r="F289" i="7"/>
  <c r="B114" i="8"/>
  <c r="D337" i="8"/>
  <c r="D467" i="8"/>
  <c r="G123" i="7"/>
  <c r="B123" i="7"/>
  <c r="B190" i="7"/>
  <c r="C190" i="7"/>
  <c r="G210" i="7"/>
  <c r="B210" i="7"/>
  <c r="F270" i="7"/>
  <c r="G270" i="7"/>
  <c r="D270" i="7"/>
  <c r="D275" i="8"/>
  <c r="B275" i="8"/>
  <c r="D171" i="7"/>
  <c r="E171" i="7"/>
  <c r="G454" i="7"/>
  <c r="F454" i="7"/>
  <c r="E454" i="7"/>
  <c r="D454" i="7"/>
  <c r="C194" i="8"/>
  <c r="D194" i="8"/>
  <c r="C206" i="8"/>
  <c r="D206" i="8"/>
  <c r="B206" i="7"/>
  <c r="F206" i="7"/>
  <c r="E206" i="7"/>
  <c r="E141" i="7"/>
  <c r="G141" i="7"/>
  <c r="F141" i="7"/>
  <c r="C294" i="7"/>
  <c r="D294" i="7"/>
  <c r="D66" i="8"/>
  <c r="B66" i="8"/>
  <c r="G97" i="7"/>
  <c r="F97" i="7"/>
  <c r="C97" i="7"/>
  <c r="G213" i="7"/>
  <c r="C275" i="7"/>
  <c r="D457" i="7"/>
  <c r="D460" i="7"/>
  <c r="E457" i="7"/>
  <c r="C65" i="7"/>
  <c r="F81" i="7"/>
  <c r="C198" i="7"/>
  <c r="G254" i="7"/>
  <c r="E295" i="7"/>
  <c r="B302" i="7"/>
  <c r="C345" i="7"/>
  <c r="E380" i="7"/>
  <c r="D452" i="7"/>
  <c r="G457" i="7"/>
  <c r="G460" i="7"/>
  <c r="D474" i="7"/>
  <c r="B98" i="8"/>
  <c r="C308" i="8"/>
  <c r="C487" i="8"/>
  <c r="D65" i="7"/>
  <c r="E198" i="7"/>
  <c r="C34" i="7"/>
  <c r="F65" i="7"/>
  <c r="G94" i="7"/>
  <c r="E102" i="7"/>
  <c r="C107" i="7"/>
  <c r="G125" i="7"/>
  <c r="C162" i="7"/>
  <c r="G198" i="7"/>
  <c r="C222" i="7"/>
  <c r="F255" i="7"/>
  <c r="D303" i="7"/>
  <c r="B368" i="7"/>
  <c r="D381" i="7"/>
  <c r="E388" i="7"/>
  <c r="B398" i="7"/>
  <c r="D410" i="7"/>
  <c r="C424" i="7"/>
  <c r="C443" i="7"/>
  <c r="E461" i="7"/>
  <c r="B162" i="8"/>
  <c r="C325" i="8"/>
  <c r="B99" i="7"/>
  <c r="G102" i="7"/>
  <c r="F107" i="7"/>
  <c r="F139" i="7"/>
  <c r="C205" i="7"/>
  <c r="B208" i="7"/>
  <c r="B213" i="7"/>
  <c r="D222" i="7"/>
  <c r="G303" i="7"/>
  <c r="G398" i="7"/>
  <c r="D443" i="7"/>
  <c r="B56" i="8"/>
  <c r="C463" i="8"/>
  <c r="B291" i="8"/>
  <c r="C291" i="8"/>
  <c r="D291" i="8"/>
  <c r="B428" i="7"/>
  <c r="D428" i="7"/>
  <c r="D40" i="8"/>
  <c r="C40" i="8"/>
  <c r="B40" i="8"/>
  <c r="B120" i="8"/>
  <c r="C120" i="8"/>
  <c r="D120" i="8"/>
  <c r="F394" i="7"/>
  <c r="D394" i="7"/>
  <c r="B272" i="7"/>
  <c r="E272" i="7"/>
  <c r="F284" i="7"/>
  <c r="G284" i="7"/>
  <c r="D70" i="7"/>
  <c r="F70" i="7"/>
  <c r="E70" i="7"/>
  <c r="C70" i="7"/>
  <c r="B70" i="7"/>
  <c r="G70" i="7"/>
  <c r="C148" i="7"/>
  <c r="F148" i="7"/>
  <c r="C215" i="7"/>
  <c r="D215" i="7"/>
  <c r="D221" i="7"/>
  <c r="E221" i="7"/>
  <c r="B421" i="7"/>
  <c r="D421" i="7"/>
  <c r="D134" i="8"/>
  <c r="B134" i="8"/>
  <c r="C21" i="7"/>
  <c r="F83" i="7"/>
  <c r="G83" i="7"/>
  <c r="D83" i="7"/>
  <c r="C54" i="8"/>
  <c r="D54" i="8"/>
  <c r="B261" i="8"/>
  <c r="C261" i="8"/>
  <c r="F237" i="7"/>
  <c r="G237" i="7"/>
  <c r="D237" i="7"/>
  <c r="B334" i="7"/>
  <c r="E334" i="7"/>
  <c r="G417" i="7"/>
  <c r="E417" i="7"/>
  <c r="C417" i="7"/>
  <c r="D468" i="7"/>
  <c r="G468" i="7"/>
  <c r="D92" i="8"/>
  <c r="C92" i="8"/>
  <c r="B92" i="8"/>
  <c r="D176" i="8"/>
  <c r="B176" i="8"/>
  <c r="E263" i="7"/>
  <c r="F263" i="7"/>
  <c r="C320" i="7"/>
  <c r="D320" i="7"/>
  <c r="F334" i="7"/>
  <c r="C363" i="7"/>
  <c r="B363" i="7"/>
  <c r="D411" i="7"/>
  <c r="E411" i="7"/>
  <c r="D417" i="7"/>
  <c r="F476" i="7"/>
  <c r="G476" i="7"/>
  <c r="B67" i="7"/>
  <c r="F67" i="7"/>
  <c r="E67" i="7"/>
  <c r="D67" i="7"/>
  <c r="C67" i="7"/>
  <c r="G67" i="7"/>
  <c r="F91" i="7"/>
  <c r="E91" i="7"/>
  <c r="B91" i="7"/>
  <c r="B280" i="7"/>
  <c r="G280" i="7"/>
  <c r="C280" i="7"/>
  <c r="C313" i="7"/>
  <c r="F313" i="7"/>
  <c r="F364" i="7"/>
  <c r="G364" i="7"/>
  <c r="D364" i="7"/>
  <c r="C170" i="8"/>
  <c r="B170" i="8"/>
  <c r="D86" i="7"/>
  <c r="B86" i="7"/>
  <c r="F104" i="7"/>
  <c r="G104" i="7"/>
  <c r="B104" i="7"/>
  <c r="B166" i="7"/>
  <c r="E166" i="7"/>
  <c r="D232" i="7"/>
  <c r="B232" i="7"/>
  <c r="D240" i="7"/>
  <c r="B240" i="7"/>
  <c r="C247" i="7"/>
  <c r="G247" i="7"/>
  <c r="E247" i="7"/>
  <c r="D247" i="7"/>
  <c r="C433" i="7"/>
  <c r="B433" i="7"/>
  <c r="B50" i="8"/>
  <c r="D50" i="8"/>
  <c r="C50" i="8"/>
  <c r="D102" i="8"/>
  <c r="C102" i="8"/>
  <c r="B102" i="8"/>
  <c r="G358" i="7"/>
  <c r="F358" i="7"/>
  <c r="D212" i="8"/>
  <c r="C212" i="8"/>
  <c r="B212" i="8"/>
  <c r="B449" i="8"/>
  <c r="D449" i="8"/>
  <c r="C36" i="7"/>
  <c r="F62" i="7"/>
  <c r="B81" i="7"/>
  <c r="D85" i="7"/>
  <c r="D97" i="7"/>
  <c r="F99" i="7"/>
  <c r="D110" i="7"/>
  <c r="G121" i="7"/>
  <c r="G132" i="7"/>
  <c r="G137" i="7"/>
  <c r="G173" i="7"/>
  <c r="G178" i="7"/>
  <c r="B205" i="7"/>
  <c r="G222" i="7"/>
  <c r="D239" i="7"/>
  <c r="G248" i="7"/>
  <c r="C254" i="7"/>
  <c r="F266" i="7"/>
  <c r="D275" i="7"/>
  <c r="E279" i="7"/>
  <c r="B289" i="7"/>
  <c r="G336" i="7"/>
  <c r="C343" i="7"/>
  <c r="G348" i="7"/>
  <c r="E410" i="7"/>
  <c r="E430" i="7"/>
  <c r="D445" i="7"/>
  <c r="E450" i="7"/>
  <c r="B124" i="8"/>
  <c r="C175" i="8"/>
  <c r="D190" i="8"/>
  <c r="B331" i="8"/>
  <c r="C337" i="8"/>
  <c r="D435" i="8"/>
  <c r="F66" i="7"/>
  <c r="F85" i="7"/>
  <c r="F103" i="7"/>
  <c r="E107" i="7"/>
  <c r="G117" i="7"/>
  <c r="D198" i="7"/>
  <c r="D205" i="7"/>
  <c r="F254" i="7"/>
  <c r="G275" i="7"/>
  <c r="G279" i="7"/>
  <c r="G289" i="7"/>
  <c r="F461" i="7"/>
  <c r="D471" i="8"/>
  <c r="D27" i="7"/>
  <c r="F98" i="7"/>
  <c r="G107" i="7"/>
  <c r="E175" i="7"/>
  <c r="F198" i="7"/>
  <c r="G205" i="7"/>
  <c r="D213" i="7"/>
  <c r="D182" i="8"/>
  <c r="B8" i="7"/>
  <c r="C98" i="8"/>
  <c r="B190" i="8"/>
  <c r="C316" i="8"/>
  <c r="C427" i="8"/>
  <c r="D487" i="8"/>
  <c r="C121" i="7"/>
  <c r="B132" i="7"/>
  <c r="D157" i="7"/>
  <c r="B197" i="7"/>
  <c r="F199" i="7"/>
  <c r="B261" i="7"/>
  <c r="B266" i="7"/>
  <c r="B279" i="7"/>
  <c r="E311" i="7"/>
  <c r="C336" i="7"/>
  <c r="D348" i="7"/>
  <c r="D430" i="7"/>
  <c r="D440" i="7"/>
  <c r="D130" i="8"/>
  <c r="D316" i="8"/>
  <c r="C435" i="8"/>
  <c r="D453" i="8"/>
  <c r="D475" i="8"/>
  <c r="G57" i="7"/>
  <c r="C57" i="7"/>
  <c r="F57" i="7"/>
  <c r="B174" i="7"/>
  <c r="F174" i="7"/>
  <c r="E174" i="7"/>
  <c r="C262" i="7"/>
  <c r="G262" i="7"/>
  <c r="E262" i="7"/>
  <c r="D262" i="7"/>
  <c r="G293" i="7"/>
  <c r="D293" i="7"/>
  <c r="B88" i="8"/>
  <c r="D88" i="8"/>
  <c r="C88" i="8"/>
  <c r="B168" i="8"/>
  <c r="D168" i="8"/>
  <c r="C168" i="8"/>
  <c r="B343" i="8"/>
  <c r="D343" i="8"/>
  <c r="B495" i="8"/>
  <c r="D495" i="8"/>
  <c r="C20" i="7"/>
  <c r="B24" i="7"/>
  <c r="B38" i="7"/>
  <c r="D57" i="7"/>
  <c r="B61" i="7"/>
  <c r="G74" i="7"/>
  <c r="D74" i="7"/>
  <c r="C77" i="7"/>
  <c r="G77" i="7"/>
  <c r="B77" i="7"/>
  <c r="G89" i="7"/>
  <c r="E89" i="7"/>
  <c r="C119" i="7"/>
  <c r="B119" i="7"/>
  <c r="D224" i="7"/>
  <c r="G224" i="7"/>
  <c r="F224" i="7"/>
  <c r="E224" i="7"/>
  <c r="B224" i="7"/>
  <c r="F245" i="7"/>
  <c r="G245" i="7"/>
  <c r="D245" i="7"/>
  <c r="F262" i="7"/>
  <c r="B312" i="7"/>
  <c r="G312" i="7"/>
  <c r="F312" i="7"/>
  <c r="E312" i="7"/>
  <c r="D312" i="7"/>
  <c r="C312" i="7"/>
  <c r="F319" i="7"/>
  <c r="G319" i="7"/>
  <c r="E319" i="7"/>
  <c r="D319" i="7"/>
  <c r="C319" i="7"/>
  <c r="B319" i="7"/>
  <c r="G325" i="7"/>
  <c r="F325" i="7"/>
  <c r="B325" i="7"/>
  <c r="B393" i="7"/>
  <c r="C393" i="7"/>
  <c r="B467" i="7"/>
  <c r="G467" i="7"/>
  <c r="F467" i="7"/>
  <c r="E467" i="7"/>
  <c r="D467" i="7"/>
  <c r="C16" i="8"/>
  <c r="B16" i="8"/>
  <c r="B282" i="8"/>
  <c r="D282" i="8"/>
  <c r="C282" i="8"/>
  <c r="D20" i="7"/>
  <c r="E57" i="7"/>
  <c r="G155" i="7"/>
  <c r="F155" i="7"/>
  <c r="E155" i="7"/>
  <c r="C155" i="7"/>
  <c r="B155" i="7"/>
  <c r="C181" i="7"/>
  <c r="E181" i="7"/>
  <c r="D181" i="7"/>
  <c r="G225" i="7"/>
  <c r="F225" i="7"/>
  <c r="G344" i="7"/>
  <c r="D344" i="7"/>
  <c r="D487" i="7"/>
  <c r="F487" i="7"/>
  <c r="B487" i="7"/>
  <c r="B245" i="8"/>
  <c r="D245" i="8"/>
  <c r="C245" i="8"/>
  <c r="B423" i="8"/>
  <c r="C423" i="8"/>
  <c r="B10" i="7"/>
  <c r="B29" i="7"/>
  <c r="D34" i="7"/>
  <c r="D75" i="7"/>
  <c r="C75" i="7"/>
  <c r="B75" i="7"/>
  <c r="E79" i="7"/>
  <c r="C79" i="7"/>
  <c r="F89" i="7"/>
  <c r="C93" i="7"/>
  <c r="F93" i="7"/>
  <c r="E93" i="7"/>
  <c r="F146" i="7"/>
  <c r="E146" i="7"/>
  <c r="C146" i="7"/>
  <c r="B182" i="7"/>
  <c r="G182" i="7"/>
  <c r="F182" i="7"/>
  <c r="C182" i="7"/>
  <c r="G189" i="7"/>
  <c r="B189" i="7"/>
  <c r="G226" i="7"/>
  <c r="B226" i="7"/>
  <c r="E267" i="7"/>
  <c r="G267" i="7"/>
  <c r="G327" i="7"/>
  <c r="F327" i="7"/>
  <c r="E327" i="7"/>
  <c r="D327" i="7"/>
  <c r="C327" i="7"/>
  <c r="B327" i="7"/>
  <c r="D140" i="8"/>
  <c r="C140" i="8"/>
  <c r="B140" i="8"/>
  <c r="C16" i="7"/>
  <c r="C53" i="7"/>
  <c r="D53" i="7"/>
  <c r="E75" i="7"/>
  <c r="B79" i="7"/>
  <c r="E90" i="7"/>
  <c r="F90" i="7"/>
  <c r="B90" i="7"/>
  <c r="B93" i="7"/>
  <c r="D106" i="7"/>
  <c r="B106" i="7"/>
  <c r="G116" i="7"/>
  <c r="F116" i="7"/>
  <c r="G146" i="7"/>
  <c r="F308" i="7"/>
  <c r="G308" i="7"/>
  <c r="E308" i="7"/>
  <c r="D308" i="7"/>
  <c r="F75" i="7"/>
  <c r="F79" i="7"/>
  <c r="D91" i="7"/>
  <c r="G91" i="7"/>
  <c r="D93" i="7"/>
  <c r="D184" i="7"/>
  <c r="G184" i="7"/>
  <c r="F184" i="7"/>
  <c r="G242" i="7"/>
  <c r="B242" i="7"/>
  <c r="D329" i="7"/>
  <c r="B329" i="7"/>
  <c r="D150" i="8"/>
  <c r="C150" i="8"/>
  <c r="B150" i="8"/>
  <c r="D218" i="8"/>
  <c r="C218" i="8"/>
  <c r="B218" i="8"/>
  <c r="B286" i="8"/>
  <c r="D286" i="8"/>
  <c r="B473" i="8"/>
  <c r="D473" i="8"/>
  <c r="C473" i="8"/>
  <c r="E63" i="7"/>
  <c r="B63" i="7"/>
  <c r="E71" i="7"/>
  <c r="G71" i="7"/>
  <c r="C71" i="7"/>
  <c r="G165" i="7"/>
  <c r="F165" i="7"/>
  <c r="E165" i="7"/>
  <c r="C165" i="7"/>
  <c r="B165" i="7"/>
  <c r="C191" i="7"/>
  <c r="G191" i="7"/>
  <c r="F191" i="7"/>
  <c r="D229" i="7"/>
  <c r="G229" i="7"/>
  <c r="E229" i="7"/>
  <c r="B229" i="7"/>
  <c r="E404" i="7"/>
  <c r="B404" i="7"/>
  <c r="E477" i="7"/>
  <c r="D477" i="7"/>
  <c r="B234" i="8"/>
  <c r="D234" i="8"/>
  <c r="D12" i="7"/>
  <c r="G63" i="7"/>
  <c r="C91" i="7"/>
  <c r="C112" i="7"/>
  <c r="G112" i="7"/>
  <c r="F112" i="7"/>
  <c r="D128" i="7"/>
  <c r="G128" i="7"/>
  <c r="F128" i="7"/>
  <c r="C128" i="7"/>
  <c r="B128" i="7"/>
  <c r="D165" i="7"/>
  <c r="D192" i="7"/>
  <c r="F192" i="7"/>
  <c r="B214" i="7"/>
  <c r="F214" i="7"/>
  <c r="E214" i="7"/>
  <c r="F229" i="7"/>
  <c r="D298" i="7"/>
  <c r="G298" i="7"/>
  <c r="F298" i="7"/>
  <c r="E298" i="7"/>
  <c r="C298" i="7"/>
  <c r="E331" i="7"/>
  <c r="G331" i="7"/>
  <c r="C484" i="7"/>
  <c r="G484" i="7"/>
  <c r="F484" i="7"/>
  <c r="E484" i="7"/>
  <c r="D484" i="7"/>
  <c r="B484" i="7"/>
  <c r="B250" i="8"/>
  <c r="D250" i="8"/>
  <c r="C250" i="8"/>
  <c r="D350" i="8"/>
  <c r="C350" i="8"/>
  <c r="B350" i="8"/>
  <c r="B469" i="8"/>
  <c r="D469" i="8"/>
  <c r="B479" i="8"/>
  <c r="C479" i="8"/>
  <c r="B491" i="8"/>
  <c r="D491" i="8"/>
  <c r="B65" i="7"/>
  <c r="F94" i="7"/>
  <c r="E97" i="7"/>
  <c r="F102" i="7"/>
  <c r="G130" i="7"/>
  <c r="D149" i="7"/>
  <c r="B171" i="7"/>
  <c r="B176" i="7"/>
  <c r="D207" i="7"/>
  <c r="B216" i="7"/>
  <c r="B221" i="7"/>
  <c r="B248" i="7"/>
  <c r="B315" i="7"/>
  <c r="B322" i="7"/>
  <c r="B343" i="7"/>
  <c r="C356" i="7"/>
  <c r="E370" i="7"/>
  <c r="B374" i="7"/>
  <c r="G384" i="7"/>
  <c r="C411" i="7"/>
  <c r="C428" i="7"/>
  <c r="B450" i="7"/>
  <c r="B496" i="7"/>
  <c r="B60" i="8"/>
  <c r="B70" i="8"/>
  <c r="B108" i="8"/>
  <c r="B118" i="8"/>
  <c r="B136" i="8"/>
  <c r="B146" i="8"/>
  <c r="C173" i="8"/>
  <c r="B188" i="8"/>
  <c r="B200" i="8"/>
  <c r="C229" i="8"/>
  <c r="C277" i="8"/>
  <c r="D311" i="8"/>
  <c r="B323" i="8"/>
  <c r="C369" i="8"/>
  <c r="B374" i="8"/>
  <c r="B465" i="8"/>
  <c r="D465" i="8"/>
  <c r="C469" i="8"/>
  <c r="D479" i="8"/>
  <c r="C491" i="8"/>
  <c r="B497" i="8"/>
  <c r="C497" i="8"/>
  <c r="C60" i="8"/>
  <c r="C70" i="8"/>
  <c r="C108" i="8"/>
  <c r="C118" i="8"/>
  <c r="C136" i="8"/>
  <c r="C146" i="8"/>
  <c r="C188" i="8"/>
  <c r="C200" i="8"/>
  <c r="D229" i="8"/>
  <c r="D277" i="8"/>
  <c r="C323" i="8"/>
  <c r="D369" i="8"/>
  <c r="C374" i="8"/>
  <c r="B431" i="8"/>
  <c r="C431" i="8"/>
  <c r="C117" i="7"/>
  <c r="F123" i="7"/>
  <c r="E157" i="7"/>
  <c r="D162" i="7"/>
  <c r="D190" i="7"/>
  <c r="F221" i="7"/>
  <c r="E232" i="7"/>
  <c r="E239" i="7"/>
  <c r="G255" i="7"/>
  <c r="B269" i="7"/>
  <c r="B284" i="7"/>
  <c r="D287" i="7"/>
  <c r="G290" i="7"/>
  <c r="C302" i="7"/>
  <c r="C316" i="7"/>
  <c r="F322" i="7"/>
  <c r="D326" i="7"/>
  <c r="B330" i="7"/>
  <c r="C333" i="7"/>
  <c r="F339" i="7"/>
  <c r="D343" i="7"/>
  <c r="G356" i="7"/>
  <c r="E371" i="7"/>
  <c r="C391" i="7"/>
  <c r="E394" i="7"/>
  <c r="F411" i="7"/>
  <c r="F415" i="7"/>
  <c r="E421" i="7"/>
  <c r="F424" i="7"/>
  <c r="E428" i="7"/>
  <c r="D444" i="7"/>
  <c r="B447" i="7"/>
  <c r="F450" i="7"/>
  <c r="F464" i="7"/>
  <c r="B471" i="7"/>
  <c r="E474" i="7"/>
  <c r="G478" i="7"/>
  <c r="C483" i="7"/>
  <c r="C493" i="7"/>
  <c r="C56" i="8"/>
  <c r="C66" i="8"/>
  <c r="B76" i="8"/>
  <c r="B86" i="8"/>
  <c r="C104" i="8"/>
  <c r="C114" i="8"/>
  <c r="B156" i="8"/>
  <c r="B166" i="8"/>
  <c r="C196" i="8"/>
  <c r="C225" i="8"/>
  <c r="B243" i="8"/>
  <c r="D246" i="8"/>
  <c r="B257" i="8"/>
  <c r="D261" i="8"/>
  <c r="B283" i="8"/>
  <c r="C293" i="8"/>
  <c r="B299" i="8"/>
  <c r="B358" i="8"/>
  <c r="D419" i="8"/>
  <c r="D431" i="8"/>
  <c r="B493" i="8"/>
  <c r="C493" i="8"/>
  <c r="D117" i="7"/>
  <c r="E190" i="7"/>
  <c r="G221" i="7"/>
  <c r="F232" i="7"/>
  <c r="F239" i="7"/>
  <c r="C284" i="7"/>
  <c r="G287" i="7"/>
  <c r="F302" i="7"/>
  <c r="G316" i="7"/>
  <c r="G322" i="7"/>
  <c r="E326" i="7"/>
  <c r="C330" i="7"/>
  <c r="E343" i="7"/>
  <c r="F391" i="7"/>
  <c r="G411" i="7"/>
  <c r="F421" i="7"/>
  <c r="G428" i="7"/>
  <c r="G444" i="7"/>
  <c r="C447" i="7"/>
  <c r="G464" i="7"/>
  <c r="E471" i="7"/>
  <c r="D483" i="7"/>
  <c r="F493" i="7"/>
  <c r="C76" i="8"/>
  <c r="C86" i="8"/>
  <c r="D104" i="8"/>
  <c r="C156" i="8"/>
  <c r="C166" i="8"/>
  <c r="D225" i="8"/>
  <c r="C243" i="8"/>
  <c r="C257" i="8"/>
  <c r="D293" i="8"/>
  <c r="B336" i="8"/>
  <c r="C358" i="8"/>
  <c r="D493" i="8"/>
  <c r="G85" i="7"/>
  <c r="G114" i="7"/>
  <c r="E117" i="7"/>
  <c r="C132" i="7"/>
  <c r="C137" i="7"/>
  <c r="B141" i="7"/>
  <c r="F151" i="7"/>
  <c r="C158" i="7"/>
  <c r="C173" i="7"/>
  <c r="F190" i="7"/>
  <c r="F193" i="7"/>
  <c r="G199" i="7"/>
  <c r="C230" i="7"/>
  <c r="G232" i="7"/>
  <c r="G239" i="7"/>
  <c r="F256" i="7"/>
  <c r="B263" i="7"/>
  <c r="D280" i="7"/>
  <c r="D284" i="7"/>
  <c r="B299" i="7"/>
  <c r="G302" i="7"/>
  <c r="B307" i="7"/>
  <c r="F326" i="7"/>
  <c r="E330" i="7"/>
  <c r="C334" i="7"/>
  <c r="E336" i="7"/>
  <c r="D340" i="7"/>
  <c r="F343" i="7"/>
  <c r="F347" i="7"/>
  <c r="B372" i="7"/>
  <c r="C377" i="7"/>
  <c r="G381" i="7"/>
  <c r="C387" i="7"/>
  <c r="E407" i="7"/>
  <c r="B419" i="7"/>
  <c r="G421" i="7"/>
  <c r="F447" i="7"/>
  <c r="E451" i="7"/>
  <c r="E468" i="7"/>
  <c r="F471" i="7"/>
  <c r="E483" i="7"/>
  <c r="C490" i="7"/>
  <c r="D498" i="7"/>
  <c r="B54" i="8"/>
  <c r="C82" i="8"/>
  <c r="C124" i="8"/>
  <c r="B130" i="8"/>
  <c r="C134" i="8"/>
  <c r="C152" i="8"/>
  <c r="C162" i="8"/>
  <c r="D170" i="8"/>
  <c r="C185" i="8"/>
  <c r="B194" i="8"/>
  <c r="B206" i="8"/>
  <c r="B253" i="8"/>
  <c r="C275" i="8"/>
  <c r="B439" i="8"/>
  <c r="D439" i="8"/>
  <c r="B483" i="8"/>
  <c r="C483" i="8"/>
  <c r="B97" i="7"/>
  <c r="B102" i="7"/>
  <c r="D107" i="7"/>
  <c r="C141" i="7"/>
  <c r="D173" i="7"/>
  <c r="G190" i="7"/>
  <c r="D230" i="7"/>
  <c r="F247" i="7"/>
  <c r="E254" i="7"/>
  <c r="C263" i="7"/>
  <c r="E284" i="7"/>
  <c r="G299" i="7"/>
  <c r="G307" i="7"/>
  <c r="G326" i="7"/>
  <c r="F330" i="7"/>
  <c r="D334" i="7"/>
  <c r="F336" i="7"/>
  <c r="F372" i="7"/>
  <c r="F468" i="7"/>
  <c r="G471" i="7"/>
  <c r="G483" i="7"/>
  <c r="F498" i="7"/>
  <c r="D72" i="8"/>
  <c r="D152" i="8"/>
  <c r="C253" i="8"/>
  <c r="D263" i="8"/>
  <c r="D270" i="8"/>
  <c r="C321" i="8"/>
  <c r="D325" i="8"/>
  <c r="C354" i="8"/>
  <c r="C439" i="8"/>
  <c r="D483" i="8"/>
  <c r="D445" i="8"/>
  <c r="D30" i="7"/>
  <c r="C30" i="7"/>
  <c r="D7" i="7"/>
  <c r="C7" i="7"/>
  <c r="F80" i="7"/>
  <c r="G80" i="7"/>
  <c r="E80" i="7"/>
  <c r="D80" i="7"/>
  <c r="C80" i="7"/>
  <c r="B84" i="7"/>
  <c r="G84" i="7"/>
  <c r="F84" i="7"/>
  <c r="E84" i="7"/>
  <c r="D84" i="7"/>
  <c r="C84" i="7"/>
  <c r="F72" i="7"/>
  <c r="G72" i="7"/>
  <c r="B72" i="7"/>
  <c r="F56" i="7"/>
  <c r="G56" i="7"/>
  <c r="E56" i="7"/>
  <c r="D56" i="7"/>
  <c r="C56" i="7"/>
  <c r="B56" i="7"/>
  <c r="E20" i="7"/>
  <c r="G276" i="7"/>
  <c r="F285" i="7"/>
  <c r="D295" i="7"/>
  <c r="D311" i="7"/>
  <c r="F331" i="7"/>
  <c r="D335" i="7"/>
  <c r="D339" i="7"/>
  <c r="E347" i="7"/>
  <c r="F351" i="7"/>
  <c r="F354" i="7"/>
  <c r="D370" i="7"/>
  <c r="G375" i="7"/>
  <c r="D380" i="7"/>
  <c r="F384" i="7"/>
  <c r="D388" i="7"/>
  <c r="E401" i="7"/>
  <c r="F414" i="7"/>
  <c r="D414" i="7"/>
  <c r="E412" i="7"/>
  <c r="D412" i="7"/>
  <c r="G431" i="7"/>
  <c r="E431" i="7"/>
  <c r="D16" i="7"/>
  <c r="C24" i="7"/>
  <c r="E53" i="7"/>
  <c r="C59" i="7"/>
  <c r="D61" i="7"/>
  <c r="G66" i="7"/>
  <c r="F74" i="7"/>
  <c r="C88" i="7"/>
  <c r="G98" i="7"/>
  <c r="G103" i="7"/>
  <c r="C106" i="7"/>
  <c r="F110" i="7"/>
  <c r="D119" i="7"/>
  <c r="C126" i="7"/>
  <c r="B133" i="7"/>
  <c r="B135" i="7"/>
  <c r="B144" i="7"/>
  <c r="B153" i="7"/>
  <c r="F157" i="7"/>
  <c r="B160" i="7"/>
  <c r="G166" i="7"/>
  <c r="D170" i="7"/>
  <c r="B172" i="7"/>
  <c r="G174" i="7"/>
  <c r="E176" i="7"/>
  <c r="C179" i="7"/>
  <c r="F181" i="7"/>
  <c r="C189" i="7"/>
  <c r="C197" i="7"/>
  <c r="G206" i="7"/>
  <c r="E208" i="7"/>
  <c r="G214" i="7"/>
  <c r="E216" i="7"/>
  <c r="D223" i="7"/>
  <c r="D231" i="7"/>
  <c r="C238" i="7"/>
  <c r="F241" i="7"/>
  <c r="C246" i="7"/>
  <c r="C253" i="7"/>
  <c r="C261" i="7"/>
  <c r="B271" i="7"/>
  <c r="F272" i="7"/>
  <c r="E281" i="7"/>
  <c r="C288" i="7"/>
  <c r="E294" i="7"/>
  <c r="F295" i="7"/>
  <c r="C304" i="7"/>
  <c r="C307" i="7"/>
  <c r="F311" i="7"/>
  <c r="B317" i="7"/>
  <c r="B321" i="7"/>
  <c r="C325" i="7"/>
  <c r="F335" i="7"/>
  <c r="G339" i="7"/>
  <c r="B342" i="7"/>
  <c r="E349" i="7"/>
  <c r="B361" i="7"/>
  <c r="C365" i="7"/>
  <c r="F368" i="7"/>
  <c r="F370" i="7"/>
  <c r="C372" i="7"/>
  <c r="D374" i="7"/>
  <c r="F380" i="7"/>
  <c r="D382" i="7"/>
  <c r="D387" i="7"/>
  <c r="F388" i="7"/>
  <c r="C405" i="7"/>
  <c r="B412" i="7"/>
  <c r="G414" i="7"/>
  <c r="F431" i="7"/>
  <c r="D24" i="7"/>
  <c r="B40" i="7"/>
  <c r="D44" i="7"/>
  <c r="F53" i="7"/>
  <c r="D59" i="7"/>
  <c r="E61" i="7"/>
  <c r="E65" i="7"/>
  <c r="C68" i="7"/>
  <c r="D76" i="7"/>
  <c r="B83" i="7"/>
  <c r="D88" i="7"/>
  <c r="B95" i="7"/>
  <c r="C100" i="7"/>
  <c r="E106" i="7"/>
  <c r="B116" i="7"/>
  <c r="F119" i="7"/>
  <c r="B125" i="7"/>
  <c r="D126" i="7"/>
  <c r="C133" i="7"/>
  <c r="D135" i="7"/>
  <c r="C142" i="7"/>
  <c r="C144" i="7"/>
  <c r="B149" i="7"/>
  <c r="B151" i="7"/>
  <c r="C153" i="7"/>
  <c r="G157" i="7"/>
  <c r="E160" i="7"/>
  <c r="C163" i="7"/>
  <c r="C172" i="7"/>
  <c r="G181" i="7"/>
  <c r="E183" i="7"/>
  <c r="D189" i="7"/>
  <c r="B192" i="7"/>
  <c r="B194" i="7"/>
  <c r="D197" i="7"/>
  <c r="B200" i="7"/>
  <c r="F208" i="7"/>
  <c r="F216" i="7"/>
  <c r="E223" i="7"/>
  <c r="E231" i="7"/>
  <c r="B237" i="7"/>
  <c r="D238" i="7"/>
  <c r="B245" i="7"/>
  <c r="D246" i="7"/>
  <c r="D253" i="7"/>
  <c r="B256" i="7"/>
  <c r="B258" i="7"/>
  <c r="D261" i="7"/>
  <c r="D267" i="7"/>
  <c r="B270" i="7"/>
  <c r="C271" i="7"/>
  <c r="G272" i="7"/>
  <c r="F281" i="7"/>
  <c r="B287" i="7"/>
  <c r="E290" i="7"/>
  <c r="B293" i="7"/>
  <c r="F294" i="7"/>
  <c r="G295" i="7"/>
  <c r="B303" i="7"/>
  <c r="E304" i="7"/>
  <c r="D307" i="7"/>
  <c r="G311" i="7"/>
  <c r="B313" i="7"/>
  <c r="D317" i="7"/>
  <c r="D321" i="7"/>
  <c r="D325" i="7"/>
  <c r="G335" i="7"/>
  <c r="B338" i="7"/>
  <c r="B348" i="7"/>
  <c r="D361" i="7"/>
  <c r="B364" i="7"/>
  <c r="E365" i="7"/>
  <c r="D372" i="7"/>
  <c r="E374" i="7"/>
  <c r="G380" i="7"/>
  <c r="D385" i="7"/>
  <c r="E387" i="7"/>
  <c r="G388" i="7"/>
  <c r="C400" i="7"/>
  <c r="F405" i="7"/>
  <c r="C408" i="7"/>
  <c r="C412" i="7"/>
  <c r="G420" i="7"/>
  <c r="F420" i="7"/>
  <c r="D420" i="7"/>
  <c r="G436" i="7"/>
  <c r="F436" i="7"/>
  <c r="E436" i="7"/>
  <c r="C436" i="7"/>
  <c r="G53" i="7"/>
  <c r="E59" i="7"/>
  <c r="F61" i="7"/>
  <c r="G68" i="7"/>
  <c r="E76" i="7"/>
  <c r="C83" i="7"/>
  <c r="E88" i="7"/>
  <c r="G95" i="7"/>
  <c r="G100" i="7"/>
  <c r="F106" i="7"/>
  <c r="C116" i="7"/>
  <c r="G119" i="7"/>
  <c r="C125" i="7"/>
  <c r="D133" i="7"/>
  <c r="D142" i="7"/>
  <c r="C149" i="7"/>
  <c r="D151" i="7"/>
  <c r="E172" i="7"/>
  <c r="E189" i="7"/>
  <c r="E192" i="7"/>
  <c r="E197" i="7"/>
  <c r="E200" i="7"/>
  <c r="G208" i="7"/>
  <c r="G216" i="7"/>
  <c r="F223" i="7"/>
  <c r="F231" i="7"/>
  <c r="C237" i="7"/>
  <c r="E238" i="7"/>
  <c r="C245" i="7"/>
  <c r="E246" i="7"/>
  <c r="E253" i="7"/>
  <c r="E256" i="7"/>
  <c r="E261" i="7"/>
  <c r="F267" i="7"/>
  <c r="C270" i="7"/>
  <c r="D271" i="7"/>
  <c r="G281" i="7"/>
  <c r="C287" i="7"/>
  <c r="F290" i="7"/>
  <c r="C293" i="7"/>
  <c r="G294" i="7"/>
  <c r="C303" i="7"/>
  <c r="F304" i="7"/>
  <c r="F307" i="7"/>
  <c r="E313" i="7"/>
  <c r="B316" i="7"/>
  <c r="E317" i="7"/>
  <c r="E321" i="7"/>
  <c r="E325" i="7"/>
  <c r="G330" i="7"/>
  <c r="G334" i="7"/>
  <c r="B340" i="7"/>
  <c r="C344" i="7"/>
  <c r="C348" i="7"/>
  <c r="B356" i="7"/>
  <c r="E358" i="7"/>
  <c r="E361" i="7"/>
  <c r="C364" i="7"/>
  <c r="C371" i="7"/>
  <c r="E372" i="7"/>
  <c r="B377" i="7"/>
  <c r="G387" i="7"/>
  <c r="F400" i="7"/>
  <c r="G404" i="7"/>
  <c r="F404" i="7"/>
  <c r="F408" i="7"/>
  <c r="F412" i="7"/>
  <c r="B420" i="7"/>
  <c r="G422" i="7"/>
  <c r="E422" i="7"/>
  <c r="B436" i="7"/>
  <c r="F59" i="7"/>
  <c r="G61" i="7"/>
  <c r="G88" i="7"/>
  <c r="G106" i="7"/>
  <c r="E133" i="7"/>
  <c r="F172" i="7"/>
  <c r="F189" i="7"/>
  <c r="F197" i="7"/>
  <c r="G223" i="7"/>
  <c r="G231" i="7"/>
  <c r="F238" i="7"/>
  <c r="F246" i="7"/>
  <c r="F253" i="7"/>
  <c r="F261" i="7"/>
  <c r="E271" i="7"/>
  <c r="G304" i="7"/>
  <c r="F317" i="7"/>
  <c r="F321" i="7"/>
  <c r="G361" i="7"/>
  <c r="G412" i="7"/>
  <c r="D427" i="7"/>
  <c r="G427" i="7"/>
  <c r="E427" i="7"/>
  <c r="E441" i="7"/>
  <c r="B441" i="7"/>
  <c r="B6" i="10"/>
  <c r="B22" i="7"/>
  <c r="D29" i="7"/>
  <c r="E29" i="7" s="1"/>
  <c r="B42" i="7"/>
  <c r="B54" i="7"/>
  <c r="F58" i="7"/>
  <c r="C66" i="7"/>
  <c r="D71" i="7"/>
  <c r="B74" i="7"/>
  <c r="G76" i="7"/>
  <c r="D79" i="7"/>
  <c r="E83" i="7"/>
  <c r="G86" i="7"/>
  <c r="G90" i="7"/>
  <c r="C94" i="7"/>
  <c r="B96" i="7"/>
  <c r="C98" i="7"/>
  <c r="D99" i="7"/>
  <c r="B101" i="7"/>
  <c r="B103" i="7"/>
  <c r="B112" i="7"/>
  <c r="C114" i="7"/>
  <c r="C123" i="7"/>
  <c r="E125" i="7"/>
  <c r="B130" i="7"/>
  <c r="E132" i="7"/>
  <c r="F133" i="7"/>
  <c r="B139" i="7"/>
  <c r="D141" i="7"/>
  <c r="G142" i="7"/>
  <c r="B148" i="7"/>
  <c r="E149" i="7"/>
  <c r="G151" i="7"/>
  <c r="B157" i="7"/>
  <c r="D158" i="7"/>
  <c r="C166" i="7"/>
  <c r="C171" i="7"/>
  <c r="C174" i="7"/>
  <c r="F175" i="7"/>
  <c r="C178" i="7"/>
  <c r="B181" i="7"/>
  <c r="D182" i="7"/>
  <c r="B184" i="7"/>
  <c r="D191" i="7"/>
  <c r="G192" i="7"/>
  <c r="D199" i="7"/>
  <c r="G200" i="7"/>
  <c r="C206" i="7"/>
  <c r="F207" i="7"/>
  <c r="F209" i="7"/>
  <c r="C214" i="7"/>
  <c r="F215" i="7"/>
  <c r="C221" i="7"/>
  <c r="E222" i="7"/>
  <c r="C229" i="7"/>
  <c r="E230" i="7"/>
  <c r="E237" i="7"/>
  <c r="G238" i="7"/>
  <c r="E240" i="7"/>
  <c r="E245" i="7"/>
  <c r="G246" i="7"/>
  <c r="E248" i="7"/>
  <c r="D255" i="7"/>
  <c r="G256" i="7"/>
  <c r="D263" i="7"/>
  <c r="C266" i="7"/>
  <c r="E270" i="7"/>
  <c r="F271" i="7"/>
  <c r="D276" i="7"/>
  <c r="C279" i="7"/>
  <c r="E280" i="7"/>
  <c r="D285" i="7"/>
  <c r="E287" i="7"/>
  <c r="D289" i="7"/>
  <c r="E293" i="7"/>
  <c r="B295" i="7"/>
  <c r="D299" i="7"/>
  <c r="D302" i="7"/>
  <c r="E303" i="7"/>
  <c r="B311" i="7"/>
  <c r="G313" i="7"/>
  <c r="D316" i="7"/>
  <c r="G321" i="7"/>
  <c r="B324" i="7"/>
  <c r="B331" i="7"/>
  <c r="B335" i="7"/>
  <c r="B339" i="7"/>
  <c r="E340" i="7"/>
  <c r="F344" i="7"/>
  <c r="C347" i="7"/>
  <c r="E348" i="7"/>
  <c r="C351" i="7"/>
  <c r="C354" i="7"/>
  <c r="D356" i="7"/>
  <c r="E364" i="7"/>
  <c r="B370" i="7"/>
  <c r="F371" i="7"/>
  <c r="C375" i="7"/>
  <c r="E377" i="7"/>
  <c r="B380" i="7"/>
  <c r="E381" i="7"/>
  <c r="C384" i="7"/>
  <c r="B386" i="7"/>
  <c r="B388" i="7"/>
  <c r="E390" i="7"/>
  <c r="E398" i="7"/>
  <c r="B401" i="7"/>
  <c r="C404" i="7"/>
  <c r="D407" i="7"/>
  <c r="C407" i="7"/>
  <c r="B407" i="7"/>
  <c r="C418" i="7"/>
  <c r="E420" i="7"/>
  <c r="C427" i="7"/>
  <c r="G441" i="7"/>
  <c r="E27" i="7"/>
  <c r="D52" i="7"/>
  <c r="G54" i="7"/>
  <c r="G58" i="7"/>
  <c r="C62" i="7"/>
  <c r="D66" i="7"/>
  <c r="F71" i="7"/>
  <c r="C74" i="7"/>
  <c r="C89" i="7"/>
  <c r="E94" i="7"/>
  <c r="D98" i="7"/>
  <c r="C103" i="7"/>
  <c r="E114" i="7"/>
  <c r="E123" i="7"/>
  <c r="F132" i="7"/>
  <c r="B146" i="7"/>
  <c r="D166" i="7"/>
  <c r="D174" i="7"/>
  <c r="E182" i="7"/>
  <c r="E184" i="7"/>
  <c r="E191" i="7"/>
  <c r="E199" i="7"/>
  <c r="D206" i="7"/>
  <c r="G207" i="7"/>
  <c r="D214" i="7"/>
  <c r="G215" i="7"/>
  <c r="F222" i="7"/>
  <c r="F230" i="7"/>
  <c r="F240" i="7"/>
  <c r="F248" i="7"/>
  <c r="E255" i="7"/>
  <c r="E266" i="7"/>
  <c r="E276" i="7"/>
  <c r="F280" i="7"/>
  <c r="E285" i="7"/>
  <c r="E289" i="7"/>
  <c r="F293" i="7"/>
  <c r="B298" i="7"/>
  <c r="F299" i="7"/>
  <c r="B308" i="7"/>
  <c r="E316" i="7"/>
  <c r="B326" i="7"/>
  <c r="D331" i="7"/>
  <c r="C339" i="7"/>
  <c r="G340" i="7"/>
  <c r="D347" i="7"/>
  <c r="C370" i="7"/>
  <c r="G371" i="7"/>
  <c r="F375" i="7"/>
  <c r="D384" i="7"/>
  <c r="F398" i="7"/>
  <c r="D404" i="7"/>
  <c r="F427" i="7"/>
  <c r="G434" i="7"/>
  <c r="F434" i="7"/>
  <c r="E434" i="7"/>
  <c r="B434" i="7"/>
  <c r="G448" i="7"/>
  <c r="C327" i="8"/>
  <c r="D327" i="8"/>
  <c r="B437" i="8"/>
  <c r="D437" i="8"/>
  <c r="C437" i="8"/>
  <c r="E444" i="7"/>
  <c r="G451" i="7"/>
  <c r="C481" i="7"/>
  <c r="C487" i="7"/>
  <c r="B492" i="7"/>
  <c r="C496" i="7"/>
  <c r="B6" i="8"/>
  <c r="D6" i="8" s="1"/>
  <c r="B26" i="8"/>
  <c r="D26" i="8" s="1"/>
  <c r="B48" i="8"/>
  <c r="B64" i="8"/>
  <c r="B80" i="8"/>
  <c r="B96" i="8"/>
  <c r="B112" i="8"/>
  <c r="B128" i="8"/>
  <c r="B144" i="8"/>
  <c r="B160" i="8"/>
  <c r="B174" i="8"/>
  <c r="B180" i="8"/>
  <c r="B216" i="8"/>
  <c r="D238" i="8"/>
  <c r="D254" i="8"/>
  <c r="B259" i="8"/>
  <c r="D271" i="8"/>
  <c r="D279" i="8"/>
  <c r="D295" i="8"/>
  <c r="D318" i="8"/>
  <c r="B346" i="8"/>
  <c r="C381" i="8"/>
  <c r="D387" i="8"/>
  <c r="C429" i="8"/>
  <c r="C443" i="8"/>
  <c r="B451" i="8"/>
  <c r="D451" i="8"/>
  <c r="C461" i="8"/>
  <c r="F428" i="7"/>
  <c r="E443" i="7"/>
  <c r="F444" i="7"/>
  <c r="E481" i="7"/>
  <c r="C492" i="7"/>
  <c r="B42" i="8"/>
  <c r="C48" i="8"/>
  <c r="B58" i="8"/>
  <c r="C64" i="8"/>
  <c r="B74" i="8"/>
  <c r="C80" i="8"/>
  <c r="B90" i="8"/>
  <c r="C96" i="8"/>
  <c r="B106" i="8"/>
  <c r="C112" i="8"/>
  <c r="B122" i="8"/>
  <c r="C128" i="8"/>
  <c r="B138" i="8"/>
  <c r="C144" i="8"/>
  <c r="B154" i="8"/>
  <c r="C160" i="8"/>
  <c r="B169" i="8"/>
  <c r="B172" i="8"/>
  <c r="C174" i="8"/>
  <c r="C180" i="8"/>
  <c r="B183" i="8"/>
  <c r="B192" i="8"/>
  <c r="B198" i="8"/>
  <c r="B204" i="8"/>
  <c r="B210" i="8"/>
  <c r="C216" i="8"/>
  <c r="B223" i="8"/>
  <c r="B227" i="8"/>
  <c r="D247" i="8"/>
  <c r="C259" i="8"/>
  <c r="C262" i="8"/>
  <c r="C284" i="8"/>
  <c r="C300" i="8"/>
  <c r="C309" i="8"/>
  <c r="B342" i="8"/>
  <c r="C346" i="8"/>
  <c r="B356" i="8"/>
  <c r="D381" i="8"/>
  <c r="B395" i="8"/>
  <c r="D395" i="8"/>
  <c r="C395" i="8"/>
  <c r="C425" i="8"/>
  <c r="D429" i="8"/>
  <c r="B433" i="8"/>
  <c r="D433" i="8"/>
  <c r="C433" i="8"/>
  <c r="D443" i="8"/>
  <c r="C447" i="8"/>
  <c r="C451" i="8"/>
  <c r="D461" i="8"/>
  <c r="B489" i="8"/>
  <c r="D489" i="8"/>
  <c r="C489" i="8"/>
  <c r="C463" i="7"/>
  <c r="B466" i="7"/>
  <c r="B476" i="7"/>
  <c r="B480" i="7"/>
  <c r="G487" i="7"/>
  <c r="B491" i="7"/>
  <c r="D492" i="7"/>
  <c r="G496" i="7"/>
  <c r="B2" i="8"/>
  <c r="D2" i="8" s="1"/>
  <c r="C22" i="8"/>
  <c r="D22" i="8" s="1"/>
  <c r="C42" i="8"/>
  <c r="B52" i="8"/>
  <c r="C58" i="8"/>
  <c r="B68" i="8"/>
  <c r="C74" i="8"/>
  <c r="B84" i="8"/>
  <c r="C90" i="8"/>
  <c r="B100" i="8"/>
  <c r="C106" i="8"/>
  <c r="B116" i="8"/>
  <c r="C122" i="8"/>
  <c r="B132" i="8"/>
  <c r="C138" i="8"/>
  <c r="B148" i="8"/>
  <c r="C154" i="8"/>
  <c r="B164" i="8"/>
  <c r="C169" i="8"/>
  <c r="C172" i="8"/>
  <c r="B186" i="8"/>
  <c r="C192" i="8"/>
  <c r="C198" i="8"/>
  <c r="C204" i="8"/>
  <c r="C210" i="8"/>
  <c r="C227" i="8"/>
  <c r="D231" i="8"/>
  <c r="C252" i="8"/>
  <c r="D262" i="8"/>
  <c r="C268" i="8"/>
  <c r="C276" i="8"/>
  <c r="D284" i="8"/>
  <c r="B289" i="8"/>
  <c r="C292" i="8"/>
  <c r="D300" i="8"/>
  <c r="D309" i="8"/>
  <c r="B315" i="8"/>
  <c r="C324" i="8"/>
  <c r="B335" i="8"/>
  <c r="C342" i="8"/>
  <c r="D351" i="8"/>
  <c r="B366" i="8"/>
  <c r="D425" i="8"/>
  <c r="D447" i="8"/>
  <c r="G443" i="7"/>
  <c r="C452" i="7"/>
  <c r="B459" i="7"/>
  <c r="C466" i="7"/>
  <c r="B468" i="7"/>
  <c r="B470" i="7"/>
  <c r="C476" i="7"/>
  <c r="C480" i="7"/>
  <c r="F485" i="7"/>
  <c r="C491" i="7"/>
  <c r="E492" i="7"/>
  <c r="B46" i="8"/>
  <c r="C52" i="8"/>
  <c r="B62" i="8"/>
  <c r="C68" i="8"/>
  <c r="B78" i="8"/>
  <c r="C84" i="8"/>
  <c r="B94" i="8"/>
  <c r="C100" i="8"/>
  <c r="B110" i="8"/>
  <c r="C116" i="8"/>
  <c r="B126" i="8"/>
  <c r="C132" i="8"/>
  <c r="B142" i="8"/>
  <c r="C148" i="8"/>
  <c r="B158" i="8"/>
  <c r="C164" i="8"/>
  <c r="B167" i="8"/>
  <c r="B178" i="8"/>
  <c r="B184" i="8"/>
  <c r="C186" i="8"/>
  <c r="B208" i="8"/>
  <c r="B214" i="8"/>
  <c r="C220" i="8"/>
  <c r="C236" i="8"/>
  <c r="D252" i="8"/>
  <c r="D268" i="8"/>
  <c r="B273" i="8"/>
  <c r="C289" i="8"/>
  <c r="B307" i="8"/>
  <c r="C335" i="8"/>
  <c r="D357" i="8"/>
  <c r="C366" i="8"/>
  <c r="D372" i="8"/>
  <c r="B372" i="8"/>
  <c r="C415" i="8"/>
  <c r="B485" i="8"/>
  <c r="D485" i="8"/>
  <c r="C485" i="8"/>
  <c r="C468" i="7"/>
  <c r="D476" i="7"/>
  <c r="D480" i="7"/>
  <c r="G485" i="7"/>
  <c r="E491" i="7"/>
  <c r="F492" i="7"/>
  <c r="B28" i="8"/>
  <c r="D28" i="8" s="1"/>
  <c r="B34" i="8"/>
  <c r="D34" i="8" s="1"/>
  <c r="C46" i="8"/>
  <c r="C62" i="8"/>
  <c r="B72" i="8"/>
  <c r="C78" i="8"/>
  <c r="C94" i="8"/>
  <c r="C110" i="8"/>
  <c r="C126" i="8"/>
  <c r="C142" i="8"/>
  <c r="C158" i="8"/>
  <c r="C178" i="8"/>
  <c r="C184" i="8"/>
  <c r="C208" i="8"/>
  <c r="C214" i="8"/>
  <c r="D220" i="8"/>
  <c r="C232" i="8"/>
  <c r="D236" i="8"/>
  <c r="C307" i="8"/>
  <c r="B353" i="8"/>
  <c r="C353" i="8"/>
  <c r="B411" i="8"/>
  <c r="D411" i="8"/>
  <c r="D415" i="8"/>
  <c r="B444" i="7"/>
  <c r="E476" i="7"/>
  <c r="F480" i="7"/>
  <c r="F491" i="7"/>
  <c r="B173" i="8"/>
  <c r="C298" i="8"/>
  <c r="D302" i="8"/>
  <c r="D340" i="8"/>
  <c r="C340" i="8"/>
  <c r="B405" i="8"/>
  <c r="D405" i="8"/>
  <c r="C411" i="8"/>
  <c r="B441" i="8"/>
  <c r="D441" i="8"/>
  <c r="C441" i="8"/>
  <c r="B459" i="8"/>
  <c r="D459" i="8"/>
  <c r="C459" i="8"/>
  <c r="B477" i="8"/>
  <c r="D477" i="8"/>
  <c r="B481" i="8"/>
  <c r="D481" i="8"/>
  <c r="C481" i="8"/>
  <c r="C495" i="8"/>
  <c r="C499" i="8"/>
  <c r="F448" i="7"/>
  <c r="G480" i="7"/>
  <c r="G491" i="7"/>
  <c r="B455" i="8"/>
  <c r="D455" i="8"/>
  <c r="D423" i="8"/>
  <c r="D427" i="8"/>
  <c r="C449" i="8"/>
  <c r="C453" i="8"/>
  <c r="C457" i="8"/>
  <c r="D463" i="8"/>
  <c r="C475" i="8"/>
  <c r="C2" i="7"/>
  <c r="B31" i="7"/>
  <c r="B35" i="7"/>
  <c r="B43" i="7"/>
  <c r="B47" i="7"/>
  <c r="D2" i="7"/>
  <c r="B11" i="7"/>
  <c r="B15" i="7"/>
  <c r="C19" i="7"/>
  <c r="B26" i="7"/>
  <c r="C35" i="7"/>
  <c r="C39" i="7"/>
  <c r="C43" i="7"/>
  <c r="C47" i="7"/>
  <c r="D51" i="7"/>
  <c r="E51" i="7" s="1"/>
  <c r="C11" i="7"/>
  <c r="C15" i="7"/>
  <c r="D19" i="7"/>
  <c r="D35" i="7"/>
  <c r="D39" i="7"/>
  <c r="D43" i="7"/>
  <c r="D47" i="7"/>
  <c r="D11" i="7"/>
  <c r="B49" i="7"/>
  <c r="B3" i="7"/>
  <c r="B6" i="7"/>
  <c r="C10" i="7"/>
  <c r="B17" i="7"/>
  <c r="C25" i="7"/>
  <c r="B33" i="7"/>
  <c r="C38" i="7"/>
  <c r="D42" i="7"/>
  <c r="B45" i="7"/>
  <c r="C3" i="7"/>
  <c r="C6" i="7"/>
  <c r="E6" i="7" s="1"/>
  <c r="D10" i="7"/>
  <c r="B13" i="7"/>
  <c r="D21" i="7"/>
  <c r="D25" i="7"/>
  <c r="C33" i="7"/>
  <c r="D33" i="7"/>
  <c r="C48" i="7"/>
  <c r="C52" i="7"/>
  <c r="B4" i="8"/>
  <c r="B12" i="8"/>
  <c r="B24" i="8"/>
  <c r="B30" i="8"/>
  <c r="B36" i="8"/>
  <c r="C4" i="8"/>
  <c r="C12" i="8"/>
  <c r="B18" i="8"/>
  <c r="C24" i="8"/>
  <c r="C30" i="8"/>
  <c r="C36" i="8"/>
  <c r="B10" i="8"/>
  <c r="C18" i="8"/>
  <c r="C10" i="8"/>
  <c r="C5" i="8"/>
  <c r="D5" i="8" s="1"/>
  <c r="B8" i="8"/>
  <c r="D8" i="8" s="1"/>
  <c r="B14" i="8"/>
  <c r="D14" i="8" s="1"/>
  <c r="B32" i="8"/>
  <c r="D32" i="8" s="1"/>
  <c r="B38" i="8"/>
  <c r="D38" i="8" s="1"/>
  <c r="C109" i="7"/>
  <c r="G109" i="7"/>
  <c r="D168" i="7"/>
  <c r="C168" i="7"/>
  <c r="G168" i="7"/>
  <c r="F168" i="7"/>
  <c r="G341" i="7"/>
  <c r="E341" i="7"/>
  <c r="D341" i="7"/>
  <c r="C341" i="7"/>
  <c r="B341" i="7"/>
  <c r="F341" i="7"/>
  <c r="D383" i="7"/>
  <c r="G383" i="7"/>
  <c r="F383" i="7"/>
  <c r="E383" i="7"/>
  <c r="B437" i="7"/>
  <c r="E437" i="7"/>
  <c r="G437" i="7"/>
  <c r="F437" i="7"/>
  <c r="D437" i="7"/>
  <c r="C437" i="7"/>
  <c r="C486" i="7"/>
  <c r="B486" i="7"/>
  <c r="G486" i="7"/>
  <c r="F486" i="7"/>
  <c r="E486" i="7"/>
  <c r="D486" i="7"/>
  <c r="D45" i="8"/>
  <c r="C45" i="8"/>
  <c r="B45" i="8"/>
  <c r="D61" i="8"/>
  <c r="C61" i="8"/>
  <c r="B61" i="8"/>
  <c r="D77" i="8"/>
  <c r="C77" i="8"/>
  <c r="B77" i="8"/>
  <c r="D93" i="8"/>
  <c r="C93" i="8"/>
  <c r="B93" i="8"/>
  <c r="D109" i="8"/>
  <c r="C109" i="8"/>
  <c r="B109" i="8"/>
  <c r="D125" i="8"/>
  <c r="C125" i="8"/>
  <c r="B125" i="8"/>
  <c r="D219" i="8"/>
  <c r="C219" i="8"/>
  <c r="B219" i="8"/>
  <c r="G105" i="7"/>
  <c r="C105" i="7"/>
  <c r="B109" i="7"/>
  <c r="B168" i="7"/>
  <c r="G187" i="7"/>
  <c r="F187" i="7"/>
  <c r="D187" i="7"/>
  <c r="C187" i="7"/>
  <c r="B187" i="7"/>
  <c r="C273" i="7"/>
  <c r="F273" i="7"/>
  <c r="E273" i="7"/>
  <c r="D273" i="7"/>
  <c r="B273" i="7"/>
  <c r="G278" i="7"/>
  <c r="F278" i="7"/>
  <c r="E278" i="7"/>
  <c r="D278" i="7"/>
  <c r="C278" i="7"/>
  <c r="B278" i="7"/>
  <c r="C337" i="7"/>
  <c r="F337" i="7"/>
  <c r="E337" i="7"/>
  <c r="D337" i="7"/>
  <c r="B337" i="7"/>
  <c r="G337" i="7"/>
  <c r="B383" i="7"/>
  <c r="C446" i="7"/>
  <c r="E446" i="7"/>
  <c r="G446" i="7"/>
  <c r="F446" i="7"/>
  <c r="D446" i="7"/>
  <c r="D39" i="8"/>
  <c r="C39" i="8"/>
  <c r="B39" i="8"/>
  <c r="D55" i="8"/>
  <c r="C55" i="8"/>
  <c r="B55" i="8"/>
  <c r="D71" i="8"/>
  <c r="C71" i="8"/>
  <c r="B71" i="8"/>
  <c r="D87" i="8"/>
  <c r="C87" i="8"/>
  <c r="B87" i="8"/>
  <c r="D103" i="8"/>
  <c r="C103" i="8"/>
  <c r="B103" i="8"/>
  <c r="D119" i="8"/>
  <c r="C119" i="8"/>
  <c r="B119" i="8"/>
  <c r="D135" i="8"/>
  <c r="C135" i="8"/>
  <c r="B135" i="8"/>
  <c r="D195" i="8"/>
  <c r="C195" i="8"/>
  <c r="B195" i="8"/>
  <c r="B5" i="7"/>
  <c r="B9" i="7"/>
  <c r="B14" i="7"/>
  <c r="B18" i="7"/>
  <c r="B23" i="7"/>
  <c r="C28" i="7"/>
  <c r="B32" i="7"/>
  <c r="B37" i="7"/>
  <c r="B41" i="7"/>
  <c r="B46" i="7"/>
  <c r="B50" i="7"/>
  <c r="B55" i="7"/>
  <c r="C60" i="7"/>
  <c r="B64" i="7"/>
  <c r="B69" i="7"/>
  <c r="B73" i="7"/>
  <c r="B78" i="7"/>
  <c r="B82" i="7"/>
  <c r="B87" i="7"/>
  <c r="C92" i="7"/>
  <c r="D109" i="7"/>
  <c r="C111" i="7"/>
  <c r="G111" i="7"/>
  <c r="B111" i="7"/>
  <c r="E145" i="7"/>
  <c r="B145" i="7"/>
  <c r="G145" i="7"/>
  <c r="B150" i="7"/>
  <c r="C150" i="7"/>
  <c r="G150" i="7"/>
  <c r="F154" i="7"/>
  <c r="B154" i="7"/>
  <c r="G154" i="7"/>
  <c r="C159" i="7"/>
  <c r="B159" i="7"/>
  <c r="G159" i="7"/>
  <c r="E161" i="7"/>
  <c r="D161" i="7"/>
  <c r="F161" i="7"/>
  <c r="C161" i="7"/>
  <c r="E168" i="7"/>
  <c r="E177" i="7"/>
  <c r="D177" i="7"/>
  <c r="F177" i="7"/>
  <c r="C177" i="7"/>
  <c r="E187" i="7"/>
  <c r="G195" i="7"/>
  <c r="F195" i="7"/>
  <c r="E195" i="7"/>
  <c r="D195" i="7"/>
  <c r="C195" i="7"/>
  <c r="B195" i="7"/>
  <c r="G211" i="7"/>
  <c r="F211" i="7"/>
  <c r="E211" i="7"/>
  <c r="D211" i="7"/>
  <c r="C211" i="7"/>
  <c r="B211" i="7"/>
  <c r="G227" i="7"/>
  <c r="F227" i="7"/>
  <c r="E227" i="7"/>
  <c r="D227" i="7"/>
  <c r="C227" i="7"/>
  <c r="B227" i="7"/>
  <c r="G243" i="7"/>
  <c r="F243" i="7"/>
  <c r="E243" i="7"/>
  <c r="D243" i="7"/>
  <c r="C243" i="7"/>
  <c r="B243" i="7"/>
  <c r="G259" i="7"/>
  <c r="F259" i="7"/>
  <c r="E259" i="7"/>
  <c r="D259" i="7"/>
  <c r="C259" i="7"/>
  <c r="B259" i="7"/>
  <c r="G273" i="7"/>
  <c r="F332" i="7"/>
  <c r="E332" i="7"/>
  <c r="D332" i="7"/>
  <c r="C332" i="7"/>
  <c r="B332" i="7"/>
  <c r="G332" i="7"/>
  <c r="D359" i="7"/>
  <c r="E359" i="7"/>
  <c r="G359" i="7"/>
  <c r="F359" i="7"/>
  <c r="C359" i="7"/>
  <c r="B359" i="7"/>
  <c r="B373" i="7"/>
  <c r="E373" i="7"/>
  <c r="G373" i="7"/>
  <c r="F373" i="7"/>
  <c r="D373" i="7"/>
  <c r="C383" i="7"/>
  <c r="B389" i="7"/>
  <c r="F389" i="7"/>
  <c r="E389" i="7"/>
  <c r="D389" i="7"/>
  <c r="C389" i="7"/>
  <c r="G389" i="7"/>
  <c r="C406" i="7"/>
  <c r="G406" i="7"/>
  <c r="F406" i="7"/>
  <c r="E406" i="7"/>
  <c r="D406" i="7"/>
  <c r="B446" i="7"/>
  <c r="C21" i="8"/>
  <c r="B21" i="8"/>
  <c r="D49" i="8"/>
  <c r="C49" i="8"/>
  <c r="B49" i="8"/>
  <c r="D65" i="8"/>
  <c r="C65" i="8"/>
  <c r="B65" i="8"/>
  <c r="D81" i="8"/>
  <c r="C81" i="8"/>
  <c r="B81" i="8"/>
  <c r="D97" i="8"/>
  <c r="C97" i="8"/>
  <c r="B97" i="8"/>
  <c r="D113" i="8"/>
  <c r="C113" i="8"/>
  <c r="B113" i="8"/>
  <c r="D129" i="8"/>
  <c r="C129" i="8"/>
  <c r="B129" i="8"/>
  <c r="D241" i="8"/>
  <c r="C241" i="8"/>
  <c r="B241" i="8"/>
  <c r="D384" i="8"/>
  <c r="C384" i="8"/>
  <c r="B384" i="8"/>
  <c r="D5" i="7"/>
  <c r="C9" i="7"/>
  <c r="C14" i="7"/>
  <c r="C18" i="7"/>
  <c r="C23" i="7"/>
  <c r="D28" i="7"/>
  <c r="C32" i="7"/>
  <c r="D37" i="7"/>
  <c r="C41" i="7"/>
  <c r="C46" i="7"/>
  <c r="C50" i="7"/>
  <c r="C55" i="7"/>
  <c r="D60" i="7"/>
  <c r="C64" i="7"/>
  <c r="D69" i="7"/>
  <c r="C73" i="7"/>
  <c r="C78" i="7"/>
  <c r="C82" i="7"/>
  <c r="C87" i="7"/>
  <c r="D92" i="7"/>
  <c r="C96" i="7"/>
  <c r="D101" i="7"/>
  <c r="D105" i="7"/>
  <c r="B108" i="7"/>
  <c r="F108" i="7"/>
  <c r="E109" i="7"/>
  <c r="D111" i="7"/>
  <c r="E113" i="7"/>
  <c r="B113" i="7"/>
  <c r="G113" i="7"/>
  <c r="B118" i="7"/>
  <c r="C118" i="7"/>
  <c r="G118" i="7"/>
  <c r="F122" i="7"/>
  <c r="B122" i="7"/>
  <c r="G122" i="7"/>
  <c r="C127" i="7"/>
  <c r="B127" i="7"/>
  <c r="G127" i="7"/>
  <c r="G131" i="7"/>
  <c r="B131" i="7"/>
  <c r="F131" i="7"/>
  <c r="D136" i="7"/>
  <c r="B136" i="7"/>
  <c r="G136" i="7"/>
  <c r="B140" i="7"/>
  <c r="G140" i="7"/>
  <c r="F140" i="7"/>
  <c r="C143" i="7"/>
  <c r="G143" i="7"/>
  <c r="D143" i="7"/>
  <c r="B143" i="7"/>
  <c r="C145" i="7"/>
  <c r="G147" i="7"/>
  <c r="F147" i="7"/>
  <c r="C147" i="7"/>
  <c r="B147" i="7"/>
  <c r="D150" i="7"/>
  <c r="D152" i="7"/>
  <c r="G152" i="7"/>
  <c r="C152" i="7"/>
  <c r="B152" i="7"/>
  <c r="C154" i="7"/>
  <c r="F156" i="7"/>
  <c r="C156" i="7"/>
  <c r="B156" i="7"/>
  <c r="D159" i="7"/>
  <c r="B161" i="7"/>
  <c r="E169" i="7"/>
  <c r="D169" i="7"/>
  <c r="C169" i="7"/>
  <c r="B177" i="7"/>
  <c r="G188" i="7"/>
  <c r="F188" i="7"/>
  <c r="E188" i="7"/>
  <c r="D188" i="7"/>
  <c r="C188" i="7"/>
  <c r="G196" i="7"/>
  <c r="F196" i="7"/>
  <c r="E196" i="7"/>
  <c r="C196" i="7"/>
  <c r="B196" i="7"/>
  <c r="G204" i="7"/>
  <c r="F204" i="7"/>
  <c r="E204" i="7"/>
  <c r="D204" i="7"/>
  <c r="C204" i="7"/>
  <c r="G220" i="7"/>
  <c r="F220" i="7"/>
  <c r="E220" i="7"/>
  <c r="D220" i="7"/>
  <c r="C220" i="7"/>
  <c r="G236" i="7"/>
  <c r="F236" i="7"/>
  <c r="E236" i="7"/>
  <c r="D236" i="7"/>
  <c r="C236" i="7"/>
  <c r="G252" i="7"/>
  <c r="F252" i="7"/>
  <c r="E252" i="7"/>
  <c r="D252" i="7"/>
  <c r="C252" i="7"/>
  <c r="F268" i="7"/>
  <c r="E268" i="7"/>
  <c r="D268" i="7"/>
  <c r="C268" i="7"/>
  <c r="B268" i="7"/>
  <c r="G268" i="7"/>
  <c r="B328" i="7"/>
  <c r="F328" i="7"/>
  <c r="E328" i="7"/>
  <c r="D328" i="7"/>
  <c r="C328" i="7"/>
  <c r="G328" i="7"/>
  <c r="F355" i="7"/>
  <c r="E355" i="7"/>
  <c r="D355" i="7"/>
  <c r="C355" i="7"/>
  <c r="B355" i="7"/>
  <c r="E360" i="7"/>
  <c r="G360" i="7"/>
  <c r="F360" i="7"/>
  <c r="D360" i="7"/>
  <c r="C360" i="7"/>
  <c r="B360" i="7"/>
  <c r="C373" i="7"/>
  <c r="B406" i="7"/>
  <c r="E416" i="7"/>
  <c r="G416" i="7"/>
  <c r="F416" i="7"/>
  <c r="D416" i="7"/>
  <c r="C416" i="7"/>
  <c r="F449" i="7"/>
  <c r="B449" i="7"/>
  <c r="G449" i="7"/>
  <c r="E449" i="7"/>
  <c r="D449" i="7"/>
  <c r="C449" i="7"/>
  <c r="F475" i="7"/>
  <c r="E475" i="7"/>
  <c r="D475" i="7"/>
  <c r="C475" i="7"/>
  <c r="G475" i="7"/>
  <c r="B475" i="7"/>
  <c r="C4" i="7"/>
  <c r="D9" i="7"/>
  <c r="D18" i="7"/>
  <c r="D23" i="7"/>
  <c r="D32" i="7"/>
  <c r="D41" i="7"/>
  <c r="D50" i="7"/>
  <c r="D55" i="7"/>
  <c r="E60" i="7"/>
  <c r="D64" i="7"/>
  <c r="E69" i="7"/>
  <c r="D73" i="7"/>
  <c r="E78" i="7"/>
  <c r="D82" i="7"/>
  <c r="D87" i="7"/>
  <c r="E92" i="7"/>
  <c r="D96" i="7"/>
  <c r="E101" i="7"/>
  <c r="E105" i="7"/>
  <c r="F109" i="7"/>
  <c r="E111" i="7"/>
  <c r="G115" i="7"/>
  <c r="F115" i="7"/>
  <c r="C115" i="7"/>
  <c r="B115" i="7"/>
  <c r="D120" i="7"/>
  <c r="G120" i="7"/>
  <c r="C120" i="7"/>
  <c r="B120" i="7"/>
  <c r="F124" i="7"/>
  <c r="C124" i="7"/>
  <c r="B124" i="7"/>
  <c r="E129" i="7"/>
  <c r="G129" i="7"/>
  <c r="C129" i="7"/>
  <c r="B129" i="7"/>
  <c r="B134" i="7"/>
  <c r="G134" i="7"/>
  <c r="D134" i="7"/>
  <c r="C134" i="7"/>
  <c r="F138" i="7"/>
  <c r="G138" i="7"/>
  <c r="C138" i="7"/>
  <c r="B138" i="7"/>
  <c r="D145" i="7"/>
  <c r="E150" i="7"/>
  <c r="D154" i="7"/>
  <c r="E159" i="7"/>
  <c r="G161" i="7"/>
  <c r="G164" i="7"/>
  <c r="E164" i="7"/>
  <c r="D164" i="7"/>
  <c r="G177" i="7"/>
  <c r="G180" i="7"/>
  <c r="E180" i="7"/>
  <c r="D180" i="7"/>
  <c r="E201" i="7"/>
  <c r="D201" i="7"/>
  <c r="C201" i="7"/>
  <c r="B201" i="7"/>
  <c r="E217" i="7"/>
  <c r="D217" i="7"/>
  <c r="C217" i="7"/>
  <c r="B217" i="7"/>
  <c r="E233" i="7"/>
  <c r="D233" i="7"/>
  <c r="C233" i="7"/>
  <c r="B233" i="7"/>
  <c r="E249" i="7"/>
  <c r="D249" i="7"/>
  <c r="C249" i="7"/>
  <c r="B249" i="7"/>
  <c r="E283" i="7"/>
  <c r="G283" i="7"/>
  <c r="F283" i="7"/>
  <c r="D283" i="7"/>
  <c r="E323" i="7"/>
  <c r="F323" i="7"/>
  <c r="D323" i="7"/>
  <c r="C323" i="7"/>
  <c r="B323" i="7"/>
  <c r="G323" i="7"/>
  <c r="C350" i="7"/>
  <c r="E350" i="7"/>
  <c r="G350" i="7"/>
  <c r="F350" i="7"/>
  <c r="B357" i="7"/>
  <c r="G357" i="7"/>
  <c r="F357" i="7"/>
  <c r="E357" i="7"/>
  <c r="D357" i="7"/>
  <c r="D4" i="7"/>
  <c r="C8" i="7"/>
  <c r="D13" i="7"/>
  <c r="C17" i="7"/>
  <c r="C22" i="7"/>
  <c r="C26" i="7"/>
  <c r="C31" i="7"/>
  <c r="D36" i="7"/>
  <c r="E36" i="7" s="1"/>
  <c r="C40" i="7"/>
  <c r="D45" i="7"/>
  <c r="C49" i="7"/>
  <c r="C54" i="7"/>
  <c r="F55" i="7"/>
  <c r="C58" i="7"/>
  <c r="F60" i="7"/>
  <c r="C63" i="7"/>
  <c r="E64" i="7"/>
  <c r="D68" i="7"/>
  <c r="F69" i="7"/>
  <c r="C72" i="7"/>
  <c r="E73" i="7"/>
  <c r="D77" i="7"/>
  <c r="F78" i="7"/>
  <c r="C81" i="7"/>
  <c r="E82" i="7"/>
  <c r="C86" i="7"/>
  <c r="F87" i="7"/>
  <c r="C90" i="7"/>
  <c r="F92" i="7"/>
  <c r="C95" i="7"/>
  <c r="E96" i="7"/>
  <c r="D100" i="7"/>
  <c r="F101" i="7"/>
  <c r="C104" i="7"/>
  <c r="F105" i="7"/>
  <c r="D108" i="7"/>
  <c r="B110" i="7"/>
  <c r="E110" i="7"/>
  <c r="F111" i="7"/>
  <c r="D113" i="7"/>
  <c r="D115" i="7"/>
  <c r="E118" i="7"/>
  <c r="E120" i="7"/>
  <c r="D122" i="7"/>
  <c r="D124" i="7"/>
  <c r="E127" i="7"/>
  <c r="D129" i="7"/>
  <c r="D131" i="7"/>
  <c r="E134" i="7"/>
  <c r="E136" i="7"/>
  <c r="D138" i="7"/>
  <c r="D140" i="7"/>
  <c r="F143" i="7"/>
  <c r="F145" i="7"/>
  <c r="E147" i="7"/>
  <c r="F150" i="7"/>
  <c r="F152" i="7"/>
  <c r="E154" i="7"/>
  <c r="E156" i="7"/>
  <c r="F159" i="7"/>
  <c r="F162" i="7"/>
  <c r="E162" i="7"/>
  <c r="B162" i="7"/>
  <c r="B164" i="7"/>
  <c r="F169" i="7"/>
  <c r="B180" i="7"/>
  <c r="E185" i="7"/>
  <c r="D185" i="7"/>
  <c r="B185" i="7"/>
  <c r="F185" i="7"/>
  <c r="C185" i="7"/>
  <c r="F201" i="7"/>
  <c r="F217" i="7"/>
  <c r="F233" i="7"/>
  <c r="F249" i="7"/>
  <c r="B283" i="7"/>
  <c r="B350" i="7"/>
  <c r="F353" i="7"/>
  <c r="B353" i="7"/>
  <c r="G353" i="7"/>
  <c r="E353" i="7"/>
  <c r="D353" i="7"/>
  <c r="C357" i="7"/>
  <c r="B403" i="7"/>
  <c r="G403" i="7"/>
  <c r="F403" i="7"/>
  <c r="E403" i="7"/>
  <c r="D403" i="7"/>
  <c r="D439" i="7"/>
  <c r="G439" i="7"/>
  <c r="F439" i="7"/>
  <c r="E439" i="7"/>
  <c r="C439" i="7"/>
  <c r="B439" i="7"/>
  <c r="C470" i="7"/>
  <c r="G470" i="7"/>
  <c r="F470" i="7"/>
  <c r="E470" i="7"/>
  <c r="E472" i="7"/>
  <c r="B472" i="7"/>
  <c r="G472" i="7"/>
  <c r="F472" i="7"/>
  <c r="D472" i="7"/>
  <c r="C472" i="7"/>
  <c r="B7" i="7"/>
  <c r="D8" i="7"/>
  <c r="C12" i="7"/>
  <c r="B16" i="7"/>
  <c r="D17" i="7"/>
  <c r="B21" i="7"/>
  <c r="B25" i="7"/>
  <c r="D26" i="7"/>
  <c r="B30" i="7"/>
  <c r="D31" i="7"/>
  <c r="B39" i="7"/>
  <c r="D40" i="7"/>
  <c r="C44" i="7"/>
  <c r="B48" i="7"/>
  <c r="D49" i="7"/>
  <c r="B53" i="7"/>
  <c r="E54" i="7"/>
  <c r="G55" i="7"/>
  <c r="B57" i="7"/>
  <c r="D58" i="7"/>
  <c r="G60" i="7"/>
  <c r="B62" i="7"/>
  <c r="D63" i="7"/>
  <c r="G64" i="7"/>
  <c r="E68" i="7"/>
  <c r="G69" i="7"/>
  <c r="B71" i="7"/>
  <c r="D72" i="7"/>
  <c r="F73" i="7"/>
  <c r="C76" i="7"/>
  <c r="E77" i="7"/>
  <c r="G78" i="7"/>
  <c r="B80" i="7"/>
  <c r="D81" i="7"/>
  <c r="F82" i="7"/>
  <c r="B85" i="7"/>
  <c r="E86" i="7"/>
  <c r="G87" i="7"/>
  <c r="B89" i="7"/>
  <c r="D90" i="7"/>
  <c r="G92" i="7"/>
  <c r="B94" i="7"/>
  <c r="D95" i="7"/>
  <c r="G96" i="7"/>
  <c r="E100" i="7"/>
  <c r="G101" i="7"/>
  <c r="D104" i="7"/>
  <c r="E108" i="7"/>
  <c r="C110" i="7"/>
  <c r="D112" i="7"/>
  <c r="E112" i="7"/>
  <c r="F113" i="7"/>
  <c r="E115" i="7"/>
  <c r="F118" i="7"/>
  <c r="F120" i="7"/>
  <c r="E122" i="7"/>
  <c r="E124" i="7"/>
  <c r="F127" i="7"/>
  <c r="F129" i="7"/>
  <c r="E131" i="7"/>
  <c r="F134" i="7"/>
  <c r="F136" i="7"/>
  <c r="E138" i="7"/>
  <c r="E140" i="7"/>
  <c r="D144" i="7"/>
  <c r="F144" i="7"/>
  <c r="E144" i="7"/>
  <c r="E148" i="7"/>
  <c r="D148" i="7"/>
  <c r="E153" i="7"/>
  <c r="F153" i="7"/>
  <c r="D153" i="7"/>
  <c r="G156" i="7"/>
  <c r="B158" i="7"/>
  <c r="F158" i="7"/>
  <c r="E158" i="7"/>
  <c r="C164" i="7"/>
  <c r="G169" i="7"/>
  <c r="C180" i="7"/>
  <c r="G185" i="7"/>
  <c r="G201" i="7"/>
  <c r="G217" i="7"/>
  <c r="G233" i="7"/>
  <c r="G249" i="7"/>
  <c r="C283" i="7"/>
  <c r="E318" i="7"/>
  <c r="D318" i="7"/>
  <c r="C318" i="7"/>
  <c r="B318" i="7"/>
  <c r="G318" i="7"/>
  <c r="F318" i="7"/>
  <c r="D350" i="7"/>
  <c r="F473" i="7"/>
  <c r="D473" i="7"/>
  <c r="G473" i="7"/>
  <c r="E473" i="7"/>
  <c r="C473" i="7"/>
  <c r="B473" i="7"/>
  <c r="G482" i="7"/>
  <c r="D482" i="7"/>
  <c r="F482" i="7"/>
  <c r="E482" i="7"/>
  <c r="C482" i="7"/>
  <c r="B7" i="10"/>
  <c r="F54" i="7"/>
  <c r="F63" i="7"/>
  <c r="F68" i="7"/>
  <c r="E72" i="7"/>
  <c r="F77" i="7"/>
  <c r="E81" i="7"/>
  <c r="F86" i="7"/>
  <c r="F95" i="7"/>
  <c r="F100" i="7"/>
  <c r="E104" i="7"/>
  <c r="G108" i="7"/>
  <c r="E116" i="7"/>
  <c r="D116" i="7"/>
  <c r="E121" i="7"/>
  <c r="F121" i="7"/>
  <c r="D121" i="7"/>
  <c r="G124" i="7"/>
  <c r="B126" i="7"/>
  <c r="F126" i="7"/>
  <c r="E126" i="7"/>
  <c r="F130" i="7"/>
  <c r="E130" i="7"/>
  <c r="D130" i="7"/>
  <c r="C135" i="7"/>
  <c r="F135" i="7"/>
  <c r="E135" i="7"/>
  <c r="G139" i="7"/>
  <c r="E139" i="7"/>
  <c r="D139" i="7"/>
  <c r="F164" i="7"/>
  <c r="F170" i="7"/>
  <c r="E170" i="7"/>
  <c r="C170" i="7"/>
  <c r="B170" i="7"/>
  <c r="F180" i="7"/>
  <c r="F186" i="7"/>
  <c r="E186" i="7"/>
  <c r="C186" i="7"/>
  <c r="G186" i="7"/>
  <c r="D186" i="7"/>
  <c r="G277" i="7"/>
  <c r="E277" i="7"/>
  <c r="D277" i="7"/>
  <c r="C277" i="7"/>
  <c r="B277" i="7"/>
  <c r="D314" i="7"/>
  <c r="F314" i="7"/>
  <c r="E314" i="7"/>
  <c r="C314" i="7"/>
  <c r="B314" i="7"/>
  <c r="G314" i="7"/>
  <c r="F433" i="7"/>
  <c r="G433" i="7"/>
  <c r="E433" i="7"/>
  <c r="D433" i="7"/>
  <c r="B435" i="7"/>
  <c r="F435" i="7"/>
  <c r="E435" i="7"/>
  <c r="D435" i="7"/>
  <c r="C435" i="7"/>
  <c r="F489" i="7"/>
  <c r="E489" i="7"/>
  <c r="G489" i="7"/>
  <c r="D489" i="7"/>
  <c r="C489" i="7"/>
  <c r="B489" i="7"/>
  <c r="G163" i="7"/>
  <c r="F163" i="7"/>
  <c r="C167" i="7"/>
  <c r="B167" i="7"/>
  <c r="G179" i="7"/>
  <c r="F179" i="7"/>
  <c r="C183" i="7"/>
  <c r="B183" i="7"/>
  <c r="F202" i="7"/>
  <c r="E202" i="7"/>
  <c r="D202" i="7"/>
  <c r="C202" i="7"/>
  <c r="F218" i="7"/>
  <c r="E218" i="7"/>
  <c r="D218" i="7"/>
  <c r="C218" i="7"/>
  <c r="F234" i="7"/>
  <c r="E234" i="7"/>
  <c r="D234" i="7"/>
  <c r="C234" i="7"/>
  <c r="F250" i="7"/>
  <c r="E250" i="7"/>
  <c r="D250" i="7"/>
  <c r="C250" i="7"/>
  <c r="B264" i="7"/>
  <c r="F264" i="7"/>
  <c r="E264" i="7"/>
  <c r="D264" i="7"/>
  <c r="C264" i="7"/>
  <c r="D274" i="7"/>
  <c r="G274" i="7"/>
  <c r="F274" i="7"/>
  <c r="E274" i="7"/>
  <c r="B296" i="7"/>
  <c r="F296" i="7"/>
  <c r="E296" i="7"/>
  <c r="D296" i="7"/>
  <c r="C296" i="7"/>
  <c r="F300" i="7"/>
  <c r="E300" i="7"/>
  <c r="D300" i="7"/>
  <c r="C300" i="7"/>
  <c r="B300" i="7"/>
  <c r="C305" i="7"/>
  <c r="F305" i="7"/>
  <c r="E305" i="7"/>
  <c r="D305" i="7"/>
  <c r="B305" i="7"/>
  <c r="G309" i="7"/>
  <c r="E309" i="7"/>
  <c r="D309" i="7"/>
  <c r="C309" i="7"/>
  <c r="B309" i="7"/>
  <c r="G362" i="7"/>
  <c r="B362" i="7"/>
  <c r="F362" i="7"/>
  <c r="E362" i="7"/>
  <c r="D362" i="7"/>
  <c r="C362" i="7"/>
  <c r="C366" i="7"/>
  <c r="G366" i="7"/>
  <c r="F366" i="7"/>
  <c r="E366" i="7"/>
  <c r="D366" i="7"/>
  <c r="G386" i="7"/>
  <c r="D386" i="7"/>
  <c r="F386" i="7"/>
  <c r="E386" i="7"/>
  <c r="E392" i="7"/>
  <c r="G392" i="7"/>
  <c r="F392" i="7"/>
  <c r="D392" i="7"/>
  <c r="C392" i="7"/>
  <c r="B392" i="7"/>
  <c r="B453" i="7"/>
  <c r="G453" i="7"/>
  <c r="F453" i="7"/>
  <c r="E453" i="7"/>
  <c r="C494" i="7"/>
  <c r="F494" i="7"/>
  <c r="G494" i="7"/>
  <c r="E494" i="7"/>
  <c r="D494" i="7"/>
  <c r="B494" i="7"/>
  <c r="G499" i="7"/>
  <c r="B499" i="7"/>
  <c r="F499" i="7"/>
  <c r="E499" i="7"/>
  <c r="D499" i="7"/>
  <c r="C499" i="7"/>
  <c r="D160" i="7"/>
  <c r="C160" i="7"/>
  <c r="B163" i="7"/>
  <c r="D167" i="7"/>
  <c r="D176" i="7"/>
  <c r="C176" i="7"/>
  <c r="B179" i="7"/>
  <c r="D183" i="7"/>
  <c r="E193" i="7"/>
  <c r="D193" i="7"/>
  <c r="C193" i="7"/>
  <c r="B193" i="7"/>
  <c r="B202" i="7"/>
  <c r="E209" i="7"/>
  <c r="D209" i="7"/>
  <c r="C209" i="7"/>
  <c r="B209" i="7"/>
  <c r="B218" i="7"/>
  <c r="E225" i="7"/>
  <c r="D225" i="7"/>
  <c r="C225" i="7"/>
  <c r="B225" i="7"/>
  <c r="B234" i="7"/>
  <c r="E241" i="7"/>
  <c r="D241" i="7"/>
  <c r="C241" i="7"/>
  <c r="B241" i="7"/>
  <c r="B250" i="7"/>
  <c r="E257" i="7"/>
  <c r="D257" i="7"/>
  <c r="C257" i="7"/>
  <c r="B257" i="7"/>
  <c r="G264" i="7"/>
  <c r="G269" i="7"/>
  <c r="F269" i="7"/>
  <c r="E269" i="7"/>
  <c r="D269" i="7"/>
  <c r="B274" i="7"/>
  <c r="E291" i="7"/>
  <c r="F291" i="7"/>
  <c r="D291" i="7"/>
  <c r="C291" i="7"/>
  <c r="B291" i="7"/>
  <c r="G296" i="7"/>
  <c r="G300" i="7"/>
  <c r="G305" i="7"/>
  <c r="F309" i="7"/>
  <c r="E315" i="7"/>
  <c r="G315" i="7"/>
  <c r="F315" i="7"/>
  <c r="D315" i="7"/>
  <c r="B320" i="7"/>
  <c r="G320" i="7"/>
  <c r="F320" i="7"/>
  <c r="E320" i="7"/>
  <c r="F324" i="7"/>
  <c r="G324" i="7"/>
  <c r="E324" i="7"/>
  <c r="D324" i="7"/>
  <c r="C329" i="7"/>
  <c r="G329" i="7"/>
  <c r="F329" i="7"/>
  <c r="E329" i="7"/>
  <c r="G333" i="7"/>
  <c r="F333" i="7"/>
  <c r="E333" i="7"/>
  <c r="D333" i="7"/>
  <c r="D338" i="7"/>
  <c r="G338" i="7"/>
  <c r="F338" i="7"/>
  <c r="E338" i="7"/>
  <c r="G342" i="7"/>
  <c r="F342" i="7"/>
  <c r="E342" i="7"/>
  <c r="D342" i="7"/>
  <c r="D363" i="7"/>
  <c r="G363" i="7"/>
  <c r="F363" i="7"/>
  <c r="B366" i="7"/>
  <c r="E376" i="7"/>
  <c r="B376" i="7"/>
  <c r="G376" i="7"/>
  <c r="F376" i="7"/>
  <c r="D376" i="7"/>
  <c r="C390" i="7"/>
  <c r="B390" i="7"/>
  <c r="G390" i="7"/>
  <c r="F390" i="7"/>
  <c r="F393" i="7"/>
  <c r="G393" i="7"/>
  <c r="E393" i="7"/>
  <c r="D395" i="7"/>
  <c r="F395" i="7"/>
  <c r="E395" i="7"/>
  <c r="C395" i="7"/>
  <c r="B395" i="7"/>
  <c r="F409" i="7"/>
  <c r="D409" i="7"/>
  <c r="G409" i="7"/>
  <c r="E409" i="7"/>
  <c r="C409" i="7"/>
  <c r="F419" i="7"/>
  <c r="G419" i="7"/>
  <c r="E419" i="7"/>
  <c r="D419" i="7"/>
  <c r="E440" i="7"/>
  <c r="B440" i="7"/>
  <c r="G440" i="7"/>
  <c r="G442" i="7"/>
  <c r="F442" i="7"/>
  <c r="E442" i="7"/>
  <c r="D442" i="7"/>
  <c r="C442" i="7"/>
  <c r="B477" i="7"/>
  <c r="C477" i="7"/>
  <c r="G477" i="7"/>
  <c r="D479" i="7"/>
  <c r="G479" i="7"/>
  <c r="F479" i="7"/>
  <c r="E479" i="7"/>
  <c r="C479" i="7"/>
  <c r="D495" i="7"/>
  <c r="B495" i="7"/>
  <c r="G495" i="7"/>
  <c r="C13" i="8"/>
  <c r="B13" i="8"/>
  <c r="C31" i="8"/>
  <c r="B31" i="8"/>
  <c r="G212" i="7"/>
  <c r="F212" i="7"/>
  <c r="E212" i="7"/>
  <c r="G228" i="7"/>
  <c r="F228" i="7"/>
  <c r="E228" i="7"/>
  <c r="G244" i="7"/>
  <c r="F244" i="7"/>
  <c r="E244" i="7"/>
  <c r="G260" i="7"/>
  <c r="F260" i="7"/>
  <c r="E260" i="7"/>
  <c r="C265" i="7"/>
  <c r="G265" i="7"/>
  <c r="F265" i="7"/>
  <c r="E265" i="7"/>
  <c r="E286" i="7"/>
  <c r="D286" i="7"/>
  <c r="C286" i="7"/>
  <c r="B286" i="7"/>
  <c r="C297" i="7"/>
  <c r="G297" i="7"/>
  <c r="F297" i="7"/>
  <c r="E297" i="7"/>
  <c r="G301" i="7"/>
  <c r="F301" i="7"/>
  <c r="E301" i="7"/>
  <c r="D301" i="7"/>
  <c r="D306" i="7"/>
  <c r="G306" i="7"/>
  <c r="F306" i="7"/>
  <c r="E306" i="7"/>
  <c r="G310" i="7"/>
  <c r="F310" i="7"/>
  <c r="E310" i="7"/>
  <c r="D310" i="7"/>
  <c r="D367" i="7"/>
  <c r="B367" i="7"/>
  <c r="G367" i="7"/>
  <c r="F369" i="7"/>
  <c r="G369" i="7"/>
  <c r="E369" i="7"/>
  <c r="D369" i="7"/>
  <c r="C369" i="7"/>
  <c r="B397" i="7"/>
  <c r="G397" i="7"/>
  <c r="F397" i="7"/>
  <c r="F425" i="7"/>
  <c r="E425" i="7"/>
  <c r="D425" i="7"/>
  <c r="C425" i="7"/>
  <c r="B425" i="7"/>
  <c r="E456" i="7"/>
  <c r="G456" i="7"/>
  <c r="F456" i="7"/>
  <c r="D456" i="7"/>
  <c r="C462" i="7"/>
  <c r="F462" i="7"/>
  <c r="E462" i="7"/>
  <c r="D462" i="7"/>
  <c r="B462" i="7"/>
  <c r="F497" i="7"/>
  <c r="G497" i="7"/>
  <c r="C497" i="7"/>
  <c r="E497" i="7"/>
  <c r="D497" i="7"/>
  <c r="F178" i="7"/>
  <c r="E178" i="7"/>
  <c r="G203" i="7"/>
  <c r="F203" i="7"/>
  <c r="E203" i="7"/>
  <c r="D203" i="7"/>
  <c r="B212" i="7"/>
  <c r="G219" i="7"/>
  <c r="F219" i="7"/>
  <c r="E219" i="7"/>
  <c r="D219" i="7"/>
  <c r="B228" i="7"/>
  <c r="G235" i="7"/>
  <c r="F235" i="7"/>
  <c r="E235" i="7"/>
  <c r="D235" i="7"/>
  <c r="B244" i="7"/>
  <c r="G251" i="7"/>
  <c r="F251" i="7"/>
  <c r="E251" i="7"/>
  <c r="D251" i="7"/>
  <c r="B260" i="7"/>
  <c r="B265" i="7"/>
  <c r="D282" i="7"/>
  <c r="F282" i="7"/>
  <c r="E282" i="7"/>
  <c r="C282" i="7"/>
  <c r="B282" i="7"/>
  <c r="F286" i="7"/>
  <c r="F292" i="7"/>
  <c r="G292" i="7"/>
  <c r="E292" i="7"/>
  <c r="D292" i="7"/>
  <c r="B297" i="7"/>
  <c r="B301" i="7"/>
  <c r="B306" i="7"/>
  <c r="B310" i="7"/>
  <c r="G346" i="7"/>
  <c r="F346" i="7"/>
  <c r="E346" i="7"/>
  <c r="D346" i="7"/>
  <c r="C367" i="7"/>
  <c r="B369" i="7"/>
  <c r="G379" i="7"/>
  <c r="F379" i="7"/>
  <c r="E379" i="7"/>
  <c r="D379" i="7"/>
  <c r="C397" i="7"/>
  <c r="D399" i="7"/>
  <c r="B399" i="7"/>
  <c r="G399" i="7"/>
  <c r="F399" i="7"/>
  <c r="E399" i="7"/>
  <c r="C399" i="7"/>
  <c r="D423" i="7"/>
  <c r="E423" i="7"/>
  <c r="G423" i="7"/>
  <c r="F423" i="7"/>
  <c r="G425" i="7"/>
  <c r="B429" i="7"/>
  <c r="G429" i="7"/>
  <c r="F429" i="7"/>
  <c r="E429" i="7"/>
  <c r="D429" i="7"/>
  <c r="C429" i="7"/>
  <c r="B456" i="7"/>
  <c r="G462" i="7"/>
  <c r="F465" i="7"/>
  <c r="G465" i="7"/>
  <c r="E465" i="7"/>
  <c r="D465" i="7"/>
  <c r="C465" i="7"/>
  <c r="B465" i="7"/>
  <c r="B497" i="7"/>
  <c r="D114" i="7"/>
  <c r="E119" i="7"/>
  <c r="D123" i="7"/>
  <c r="E128" i="7"/>
  <c r="D137" i="7"/>
  <c r="E142" i="7"/>
  <c r="D146" i="7"/>
  <c r="E151" i="7"/>
  <c r="D155" i="7"/>
  <c r="F160" i="7"/>
  <c r="E163" i="7"/>
  <c r="G167" i="7"/>
  <c r="G171" i="7"/>
  <c r="F171" i="7"/>
  <c r="D172" i="7"/>
  <c r="C175" i="7"/>
  <c r="B175" i="7"/>
  <c r="F176" i="7"/>
  <c r="B178" i="7"/>
  <c r="E179" i="7"/>
  <c r="G183" i="7"/>
  <c r="F194" i="7"/>
  <c r="E194" i="7"/>
  <c r="D194" i="7"/>
  <c r="C194" i="7"/>
  <c r="B203" i="7"/>
  <c r="F210" i="7"/>
  <c r="E210" i="7"/>
  <c r="D210" i="7"/>
  <c r="C210" i="7"/>
  <c r="C212" i="7"/>
  <c r="B219" i="7"/>
  <c r="F226" i="7"/>
  <c r="E226" i="7"/>
  <c r="D226" i="7"/>
  <c r="C226" i="7"/>
  <c r="C228" i="7"/>
  <c r="B235" i="7"/>
  <c r="F242" i="7"/>
  <c r="E242" i="7"/>
  <c r="D242" i="7"/>
  <c r="C242" i="7"/>
  <c r="C244" i="7"/>
  <c r="B251" i="7"/>
  <c r="F258" i="7"/>
  <c r="E258" i="7"/>
  <c r="D258" i="7"/>
  <c r="C258" i="7"/>
  <c r="C260" i="7"/>
  <c r="D265" i="7"/>
  <c r="G282" i="7"/>
  <c r="G286" i="7"/>
  <c r="B288" i="7"/>
  <c r="G288" i="7"/>
  <c r="F288" i="7"/>
  <c r="E288" i="7"/>
  <c r="B292" i="7"/>
  <c r="D297" i="7"/>
  <c r="C301" i="7"/>
  <c r="C306" i="7"/>
  <c r="C310" i="7"/>
  <c r="B346" i="7"/>
  <c r="E352" i="7"/>
  <c r="F352" i="7"/>
  <c r="D352" i="7"/>
  <c r="C352" i="7"/>
  <c r="B352" i="7"/>
  <c r="E363" i="7"/>
  <c r="E367" i="7"/>
  <c r="B379" i="7"/>
  <c r="D393" i="7"/>
  <c r="D397" i="7"/>
  <c r="E400" i="7"/>
  <c r="D400" i="7"/>
  <c r="G400" i="7"/>
  <c r="G402" i="7"/>
  <c r="F402" i="7"/>
  <c r="E402" i="7"/>
  <c r="D402" i="7"/>
  <c r="C402" i="7"/>
  <c r="B413" i="7"/>
  <c r="C413" i="7"/>
  <c r="G413" i="7"/>
  <c r="F413" i="7"/>
  <c r="E413" i="7"/>
  <c r="B423" i="7"/>
  <c r="G426" i="7"/>
  <c r="B426" i="7"/>
  <c r="F426" i="7"/>
  <c r="E426" i="7"/>
  <c r="C430" i="7"/>
  <c r="G430" i="7"/>
  <c r="F430" i="7"/>
  <c r="E432" i="7"/>
  <c r="D432" i="7"/>
  <c r="G432" i="7"/>
  <c r="F432" i="7"/>
  <c r="C432" i="7"/>
  <c r="B432" i="7"/>
  <c r="F440" i="7"/>
  <c r="C456" i="7"/>
  <c r="D459" i="7"/>
  <c r="G459" i="7"/>
  <c r="F459" i="7"/>
  <c r="E459" i="7"/>
  <c r="D463" i="7"/>
  <c r="B463" i="7"/>
  <c r="G463" i="7"/>
  <c r="F463" i="7"/>
  <c r="G466" i="7"/>
  <c r="F466" i="7"/>
  <c r="E466" i="7"/>
  <c r="B469" i="7"/>
  <c r="E469" i="7"/>
  <c r="G469" i="7"/>
  <c r="F469" i="7"/>
  <c r="D469" i="7"/>
  <c r="C469" i="7"/>
  <c r="F477" i="7"/>
  <c r="F495" i="7"/>
  <c r="C3" i="8"/>
  <c r="B3" i="8"/>
  <c r="F345" i="7"/>
  <c r="D345" i="7"/>
  <c r="G347" i="7"/>
  <c r="B349" i="7"/>
  <c r="C349" i="7"/>
  <c r="G378" i="7"/>
  <c r="F378" i="7"/>
  <c r="C382" i="7"/>
  <c r="E382" i="7"/>
  <c r="F385" i="7"/>
  <c r="B385" i="7"/>
  <c r="D415" i="7"/>
  <c r="G415" i="7"/>
  <c r="G418" i="7"/>
  <c r="D418" i="7"/>
  <c r="C422" i="7"/>
  <c r="B422" i="7"/>
  <c r="D455" i="7"/>
  <c r="E455" i="7"/>
  <c r="G458" i="7"/>
  <c r="B458" i="7"/>
  <c r="E488" i="7"/>
  <c r="G488" i="7"/>
  <c r="C488" i="7"/>
  <c r="B345" i="7"/>
  <c r="D349" i="7"/>
  <c r="B365" i="7"/>
  <c r="G365" i="7"/>
  <c r="E368" i="7"/>
  <c r="D368" i="7"/>
  <c r="B375" i="7"/>
  <c r="B378" i="7"/>
  <c r="B382" i="7"/>
  <c r="C385" i="7"/>
  <c r="F401" i="7"/>
  <c r="G401" i="7"/>
  <c r="B405" i="7"/>
  <c r="E405" i="7"/>
  <c r="E408" i="7"/>
  <c r="B408" i="7"/>
  <c r="B411" i="7"/>
  <c r="B415" i="7"/>
  <c r="B418" i="7"/>
  <c r="D422" i="7"/>
  <c r="C438" i="7"/>
  <c r="G438" i="7"/>
  <c r="F441" i="7"/>
  <c r="D441" i="7"/>
  <c r="B445" i="7"/>
  <c r="C445" i="7"/>
  <c r="B448" i="7"/>
  <c r="B451" i="7"/>
  <c r="B455" i="7"/>
  <c r="C458" i="7"/>
  <c r="G474" i="7"/>
  <c r="F474" i="7"/>
  <c r="C478" i="7"/>
  <c r="E478" i="7"/>
  <c r="F481" i="7"/>
  <c r="B481" i="7"/>
  <c r="C485" i="7"/>
  <c r="B488" i="7"/>
  <c r="G490" i="7"/>
  <c r="B490" i="7"/>
  <c r="C23" i="8"/>
  <c r="C184" i="7"/>
  <c r="B191" i="7"/>
  <c r="C192" i="7"/>
  <c r="B199" i="7"/>
  <c r="C200" i="7"/>
  <c r="B207" i="7"/>
  <c r="C208" i="7"/>
  <c r="B215" i="7"/>
  <c r="C216" i="7"/>
  <c r="B223" i="7"/>
  <c r="C224" i="7"/>
  <c r="B231" i="7"/>
  <c r="C232" i="7"/>
  <c r="B239" i="7"/>
  <c r="C240" i="7"/>
  <c r="B247" i="7"/>
  <c r="C248" i="7"/>
  <c r="B255" i="7"/>
  <c r="C256" i="7"/>
  <c r="B262" i="7"/>
  <c r="B267" i="7"/>
  <c r="C272" i="7"/>
  <c r="B276" i="7"/>
  <c r="B281" i="7"/>
  <c r="B285" i="7"/>
  <c r="B290" i="7"/>
  <c r="B294" i="7"/>
  <c r="D351" i="7"/>
  <c r="G351" i="7"/>
  <c r="G354" i="7"/>
  <c r="D354" i="7"/>
  <c r="C358" i="7"/>
  <c r="B358" i="7"/>
  <c r="D391" i="7"/>
  <c r="E391" i="7"/>
  <c r="G394" i="7"/>
  <c r="B394" i="7"/>
  <c r="E424" i="7"/>
  <c r="G424" i="7"/>
  <c r="D431" i="7"/>
  <c r="B431" i="7"/>
  <c r="C448" i="7"/>
  <c r="C451" i="7"/>
  <c r="C455" i="7"/>
  <c r="D458" i="7"/>
  <c r="B461" i="7"/>
  <c r="G461" i="7"/>
  <c r="E464" i="7"/>
  <c r="D464" i="7"/>
  <c r="D485" i="7"/>
  <c r="D488" i="7"/>
  <c r="G498" i="7"/>
  <c r="E498" i="7"/>
  <c r="B23" i="8"/>
  <c r="C267" i="7"/>
  <c r="D272" i="7"/>
  <c r="C276" i="7"/>
  <c r="D281" i="7"/>
  <c r="C285" i="7"/>
  <c r="C290" i="7"/>
  <c r="C299" i="7"/>
  <c r="D304" i="7"/>
  <c r="C308" i="7"/>
  <c r="D313" i="7"/>
  <c r="C317" i="7"/>
  <c r="C322" i="7"/>
  <c r="C331" i="7"/>
  <c r="D336" i="7"/>
  <c r="C340" i="7"/>
  <c r="E344" i="7"/>
  <c r="B344" i="7"/>
  <c r="E345" i="7"/>
  <c r="F349" i="7"/>
  <c r="B351" i="7"/>
  <c r="B354" i="7"/>
  <c r="D358" i="7"/>
  <c r="C361" i="7"/>
  <c r="D365" i="7"/>
  <c r="C368" i="7"/>
  <c r="D371" i="7"/>
  <c r="C374" i="7"/>
  <c r="G374" i="7"/>
  <c r="E375" i="7"/>
  <c r="F377" i="7"/>
  <c r="D377" i="7"/>
  <c r="D378" i="7"/>
  <c r="B381" i="7"/>
  <c r="C381" i="7"/>
  <c r="F382" i="7"/>
  <c r="B384" i="7"/>
  <c r="E385" i="7"/>
  <c r="B387" i="7"/>
  <c r="B391" i="7"/>
  <c r="C394" i="7"/>
  <c r="D398" i="7"/>
  <c r="C401" i="7"/>
  <c r="D405" i="7"/>
  <c r="D408" i="7"/>
  <c r="G410" i="7"/>
  <c r="F410" i="7"/>
  <c r="C414" i="7"/>
  <c r="E414" i="7"/>
  <c r="E415" i="7"/>
  <c r="F417" i="7"/>
  <c r="B417" i="7"/>
  <c r="E418" i="7"/>
  <c r="C421" i="7"/>
  <c r="F422" i="7"/>
  <c r="B424" i="7"/>
  <c r="B427" i="7"/>
  <c r="C431" i="7"/>
  <c r="C434" i="7"/>
  <c r="D438" i="7"/>
  <c r="C441" i="7"/>
  <c r="E445" i="7"/>
  <c r="D447" i="7"/>
  <c r="G447" i="7"/>
  <c r="D448" i="7"/>
  <c r="G450" i="7"/>
  <c r="D450" i="7"/>
  <c r="D451" i="7"/>
  <c r="C454" i="7"/>
  <c r="B454" i="7"/>
  <c r="F455" i="7"/>
  <c r="B457" i="7"/>
  <c r="E458" i="7"/>
  <c r="C461" i="7"/>
  <c r="B464" i="7"/>
  <c r="C467" i="7"/>
  <c r="C471" i="7"/>
  <c r="C474" i="7"/>
  <c r="D478" i="7"/>
  <c r="D481" i="7"/>
  <c r="E485" i="7"/>
  <c r="F488" i="7"/>
  <c r="D490" i="7"/>
  <c r="B493" i="7"/>
  <c r="G493" i="7"/>
  <c r="D493" i="7"/>
  <c r="B498" i="7"/>
  <c r="C15" i="8"/>
  <c r="D15" i="8" s="1"/>
  <c r="C29" i="8"/>
  <c r="C37" i="8"/>
  <c r="D43" i="8"/>
  <c r="C43" i="8"/>
  <c r="B43" i="8"/>
  <c r="D59" i="8"/>
  <c r="C59" i="8"/>
  <c r="B59" i="8"/>
  <c r="D75" i="8"/>
  <c r="C75" i="8"/>
  <c r="B75" i="8"/>
  <c r="D91" i="8"/>
  <c r="C91" i="8"/>
  <c r="B91" i="8"/>
  <c r="D107" i="8"/>
  <c r="C107" i="8"/>
  <c r="B107" i="8"/>
  <c r="D123" i="8"/>
  <c r="C123" i="8"/>
  <c r="B123" i="8"/>
  <c r="D211" i="8"/>
  <c r="C211" i="8"/>
  <c r="B211" i="8"/>
  <c r="B228" i="8"/>
  <c r="D228" i="8"/>
  <c r="C228" i="8"/>
  <c r="D269" i="8"/>
  <c r="C269" i="8"/>
  <c r="B269" i="8"/>
  <c r="B29" i="8"/>
  <c r="B37" i="8"/>
  <c r="D53" i="8"/>
  <c r="C53" i="8"/>
  <c r="B53" i="8"/>
  <c r="D69" i="8"/>
  <c r="C69" i="8"/>
  <c r="B69" i="8"/>
  <c r="D85" i="8"/>
  <c r="C85" i="8"/>
  <c r="B85" i="8"/>
  <c r="D101" i="8"/>
  <c r="C101" i="8"/>
  <c r="B101" i="8"/>
  <c r="D117" i="8"/>
  <c r="C117" i="8"/>
  <c r="B117" i="8"/>
  <c r="D133" i="8"/>
  <c r="C133" i="8"/>
  <c r="B133" i="8"/>
  <c r="D187" i="8"/>
  <c r="C187" i="8"/>
  <c r="B187" i="8"/>
  <c r="D338" i="8"/>
  <c r="C338" i="8"/>
  <c r="B338" i="8"/>
  <c r="C19" i="8"/>
  <c r="C27" i="8"/>
  <c r="C35" i="8"/>
  <c r="D47" i="8"/>
  <c r="C47" i="8"/>
  <c r="B47" i="8"/>
  <c r="D63" i="8"/>
  <c r="C63" i="8"/>
  <c r="B63" i="8"/>
  <c r="D79" i="8"/>
  <c r="C79" i="8"/>
  <c r="B79" i="8"/>
  <c r="D95" i="8"/>
  <c r="C95" i="8"/>
  <c r="B95" i="8"/>
  <c r="D111" i="8"/>
  <c r="C111" i="8"/>
  <c r="B111" i="8"/>
  <c r="D127" i="8"/>
  <c r="C127" i="8"/>
  <c r="B127" i="8"/>
  <c r="B278" i="8"/>
  <c r="C278" i="8"/>
  <c r="D278" i="8"/>
  <c r="B312" i="8"/>
  <c r="D312" i="8"/>
  <c r="C312" i="8"/>
  <c r="B9" i="8"/>
  <c r="C11" i="8"/>
  <c r="D11" i="8" s="1"/>
  <c r="B19" i="8"/>
  <c r="B27" i="8"/>
  <c r="B35" i="8"/>
  <c r="D41" i="8"/>
  <c r="C41" i="8"/>
  <c r="B41" i="8"/>
  <c r="D57" i="8"/>
  <c r="C57" i="8"/>
  <c r="B57" i="8"/>
  <c r="D73" i="8"/>
  <c r="C73" i="8"/>
  <c r="B73" i="8"/>
  <c r="D89" i="8"/>
  <c r="C89" i="8"/>
  <c r="B89" i="8"/>
  <c r="D105" i="8"/>
  <c r="C105" i="8"/>
  <c r="B105" i="8"/>
  <c r="D121" i="8"/>
  <c r="C121" i="8"/>
  <c r="B121" i="8"/>
  <c r="D171" i="8"/>
  <c r="C171" i="8"/>
  <c r="B171" i="8"/>
  <c r="D203" i="8"/>
  <c r="C203" i="8"/>
  <c r="B203" i="8"/>
  <c r="B266" i="8"/>
  <c r="D266" i="8"/>
  <c r="C266" i="8"/>
  <c r="B375" i="8"/>
  <c r="D375" i="8"/>
  <c r="C375" i="8"/>
  <c r="E487" i="7"/>
  <c r="D496" i="7"/>
  <c r="B7" i="8"/>
  <c r="D7" i="8" s="1"/>
  <c r="C9" i="8"/>
  <c r="C17" i="8"/>
  <c r="D17" i="8" s="1"/>
  <c r="C25" i="8"/>
  <c r="D25" i="8" s="1"/>
  <c r="C33" i="8"/>
  <c r="D33" i="8" s="1"/>
  <c r="D51" i="8"/>
  <c r="C51" i="8"/>
  <c r="B51" i="8"/>
  <c r="D67" i="8"/>
  <c r="C67" i="8"/>
  <c r="B67" i="8"/>
  <c r="D83" i="8"/>
  <c r="C83" i="8"/>
  <c r="B83" i="8"/>
  <c r="D99" i="8"/>
  <c r="C99" i="8"/>
  <c r="B99" i="8"/>
  <c r="D115" i="8"/>
  <c r="C115" i="8"/>
  <c r="B115" i="8"/>
  <c r="D131" i="8"/>
  <c r="C131" i="8"/>
  <c r="B131" i="8"/>
  <c r="D305" i="8"/>
  <c r="C305" i="8"/>
  <c r="B305" i="8"/>
  <c r="D235" i="8"/>
  <c r="C235" i="8"/>
  <c r="B244" i="8"/>
  <c r="D244" i="8"/>
  <c r="B328" i="8"/>
  <c r="D328" i="8"/>
  <c r="D406" i="8"/>
  <c r="C406" i="8"/>
  <c r="B406" i="8"/>
  <c r="D193" i="8"/>
  <c r="C193" i="8"/>
  <c r="D201" i="8"/>
  <c r="C201" i="8"/>
  <c r="D209" i="8"/>
  <c r="C209" i="8"/>
  <c r="D217" i="8"/>
  <c r="C217" i="8"/>
  <c r="D251" i="8"/>
  <c r="C251" i="8"/>
  <c r="B260" i="8"/>
  <c r="D260" i="8"/>
  <c r="D301" i="8"/>
  <c r="C301" i="8"/>
  <c r="B301" i="8"/>
  <c r="B321" i="8"/>
  <c r="C328" i="8"/>
  <c r="C343" i="8"/>
  <c r="B367" i="8"/>
  <c r="D367" i="8"/>
  <c r="C367" i="8"/>
  <c r="B385" i="8"/>
  <c r="C385" i="8"/>
  <c r="D385" i="8"/>
  <c r="D402" i="8"/>
  <c r="C402" i="8"/>
  <c r="D432" i="8"/>
  <c r="C432" i="8"/>
  <c r="B226" i="8"/>
  <c r="D226" i="8"/>
  <c r="C226" i="8"/>
  <c r="D267" i="8"/>
  <c r="C267" i="8"/>
  <c r="D317" i="8"/>
  <c r="C317" i="8"/>
  <c r="B317" i="8"/>
  <c r="D333" i="8"/>
  <c r="C333" i="8"/>
  <c r="B355" i="8"/>
  <c r="C355" i="8"/>
  <c r="D392" i="8"/>
  <c r="C392" i="8"/>
  <c r="D412" i="8"/>
  <c r="C412" i="8"/>
  <c r="D416" i="8"/>
  <c r="C416" i="8"/>
  <c r="B416" i="8"/>
  <c r="D436" i="8"/>
  <c r="C436" i="8"/>
  <c r="B436" i="8"/>
  <c r="B137" i="8"/>
  <c r="B139" i="8"/>
  <c r="B141" i="8"/>
  <c r="B143" i="8"/>
  <c r="B145" i="8"/>
  <c r="B147" i="8"/>
  <c r="B149" i="8"/>
  <c r="B151" i="8"/>
  <c r="B153" i="8"/>
  <c r="B155" i="8"/>
  <c r="B157" i="8"/>
  <c r="B159" i="8"/>
  <c r="B161" i="8"/>
  <c r="B163" i="8"/>
  <c r="B165" i="8"/>
  <c r="C167" i="8"/>
  <c r="B181" i="8"/>
  <c r="C183" i="8"/>
  <c r="D191" i="8"/>
  <c r="C191" i="8"/>
  <c r="D199" i="8"/>
  <c r="C199" i="8"/>
  <c r="D207" i="8"/>
  <c r="C207" i="8"/>
  <c r="D215" i="8"/>
  <c r="C215" i="8"/>
  <c r="C223" i="8"/>
  <c r="D232" i="8"/>
  <c r="B239" i="8"/>
  <c r="B242" i="8"/>
  <c r="D242" i="8"/>
  <c r="C242" i="8"/>
  <c r="C248" i="8"/>
  <c r="B267" i="8"/>
  <c r="C273" i="8"/>
  <c r="B280" i="8"/>
  <c r="D280" i="8"/>
  <c r="B287" i="8"/>
  <c r="B294" i="8"/>
  <c r="D294" i="8"/>
  <c r="C294" i="8"/>
  <c r="D298" i="8"/>
  <c r="C314" i="8"/>
  <c r="B333" i="8"/>
  <c r="D355" i="8"/>
  <c r="D364" i="8"/>
  <c r="C364" i="8"/>
  <c r="B373" i="8"/>
  <c r="D373" i="8"/>
  <c r="C373" i="8"/>
  <c r="B392" i="8"/>
  <c r="B412" i="8"/>
  <c r="D426" i="8"/>
  <c r="C426" i="8"/>
  <c r="D476" i="8"/>
  <c r="C476" i="8"/>
  <c r="C137" i="8"/>
  <c r="C139" i="8"/>
  <c r="C141" i="8"/>
  <c r="C143" i="8"/>
  <c r="C145" i="8"/>
  <c r="C147" i="8"/>
  <c r="C149" i="8"/>
  <c r="C151" i="8"/>
  <c r="C153" i="8"/>
  <c r="C155" i="8"/>
  <c r="C157" i="8"/>
  <c r="C159" i="8"/>
  <c r="C161" i="8"/>
  <c r="C163" i="8"/>
  <c r="C165" i="8"/>
  <c r="B179" i="8"/>
  <c r="C181" i="8"/>
  <c r="B191" i="8"/>
  <c r="B199" i="8"/>
  <c r="B207" i="8"/>
  <c r="B215" i="8"/>
  <c r="D233" i="8"/>
  <c r="C233" i="8"/>
  <c r="B233" i="8"/>
  <c r="C239" i="8"/>
  <c r="D248" i="8"/>
  <c r="B255" i="8"/>
  <c r="B258" i="8"/>
  <c r="D258" i="8"/>
  <c r="C258" i="8"/>
  <c r="C264" i="8"/>
  <c r="C280" i="8"/>
  <c r="D287" i="8"/>
  <c r="D303" i="8"/>
  <c r="C303" i="8"/>
  <c r="B310" i="8"/>
  <c r="D310" i="8"/>
  <c r="C310" i="8"/>
  <c r="D314" i="8"/>
  <c r="C330" i="8"/>
  <c r="B341" i="8"/>
  <c r="D341" i="8"/>
  <c r="C341" i="8"/>
  <c r="D352" i="8"/>
  <c r="C352" i="8"/>
  <c r="B364" i="8"/>
  <c r="C409" i="8"/>
  <c r="B413" i="8"/>
  <c r="D413" i="8"/>
  <c r="C413" i="8"/>
  <c r="B426" i="8"/>
  <c r="B476" i="8"/>
  <c r="B177" i="8"/>
  <c r="C179" i="8"/>
  <c r="D189" i="8"/>
  <c r="C189" i="8"/>
  <c r="D197" i="8"/>
  <c r="C197" i="8"/>
  <c r="D205" i="8"/>
  <c r="C205" i="8"/>
  <c r="D213" i="8"/>
  <c r="C213" i="8"/>
  <c r="B221" i="8"/>
  <c r="C230" i="8"/>
  <c r="D249" i="8"/>
  <c r="C249" i="8"/>
  <c r="B249" i="8"/>
  <c r="C255" i="8"/>
  <c r="D264" i="8"/>
  <c r="B271" i="8"/>
  <c r="B274" i="8"/>
  <c r="D274" i="8"/>
  <c r="C274" i="8"/>
  <c r="D281" i="8"/>
  <c r="C281" i="8"/>
  <c r="B281" i="8"/>
  <c r="B303" i="8"/>
  <c r="D319" i="8"/>
  <c r="C319" i="8"/>
  <c r="B326" i="8"/>
  <c r="D326" i="8"/>
  <c r="C326" i="8"/>
  <c r="D330" i="8"/>
  <c r="C349" i="8"/>
  <c r="B352" i="8"/>
  <c r="B378" i="8"/>
  <c r="D388" i="8"/>
  <c r="C388" i="8"/>
  <c r="B388" i="8"/>
  <c r="B399" i="8"/>
  <c r="D399" i="8"/>
  <c r="C399" i="8"/>
  <c r="D409" i="8"/>
  <c r="D452" i="8"/>
  <c r="C452" i="8"/>
  <c r="B452" i="8"/>
  <c r="D456" i="8"/>
  <c r="C456" i="8"/>
  <c r="D466" i="8"/>
  <c r="C466" i="8"/>
  <c r="B175" i="8"/>
  <c r="C177" i="8"/>
  <c r="B189" i="8"/>
  <c r="B197" i="8"/>
  <c r="B205" i="8"/>
  <c r="B213" i="8"/>
  <c r="C221" i="8"/>
  <c r="D230" i="8"/>
  <c r="C234" i="8"/>
  <c r="B237" i="8"/>
  <c r="C246" i="8"/>
  <c r="D265" i="8"/>
  <c r="C265" i="8"/>
  <c r="B265" i="8"/>
  <c r="D285" i="8"/>
  <c r="B285" i="8"/>
  <c r="B296" i="8"/>
  <c r="D296" i="8"/>
  <c r="B319" i="8"/>
  <c r="D349" i="8"/>
  <c r="B361" i="8"/>
  <c r="D361" i="8"/>
  <c r="D370" i="8"/>
  <c r="C370" i="8"/>
  <c r="B370" i="8"/>
  <c r="C378" i="8"/>
  <c r="B389" i="8"/>
  <c r="D389" i="8"/>
  <c r="C389" i="8"/>
  <c r="C419" i="8"/>
  <c r="D442" i="8"/>
  <c r="C442" i="8"/>
  <c r="B456" i="8"/>
  <c r="B466" i="8"/>
  <c r="D470" i="8"/>
  <c r="C470" i="8"/>
  <c r="B470" i="8"/>
  <c r="D344" i="8"/>
  <c r="C344" i="8"/>
  <c r="B347" i="8"/>
  <c r="C347" i="8"/>
  <c r="D376" i="8"/>
  <c r="C376" i="8"/>
  <c r="B379" i="8"/>
  <c r="C379" i="8"/>
  <c r="D396" i="8"/>
  <c r="C396" i="8"/>
  <c r="D410" i="8"/>
  <c r="C410" i="8"/>
  <c r="D420" i="8"/>
  <c r="C420" i="8"/>
  <c r="B420" i="8"/>
  <c r="D440" i="8"/>
  <c r="C440" i="8"/>
  <c r="D460" i="8"/>
  <c r="C460" i="8"/>
  <c r="D488" i="8"/>
  <c r="C488" i="8"/>
  <c r="D498" i="8"/>
  <c r="C498" i="8"/>
  <c r="B376" i="8"/>
  <c r="D379" i="8"/>
  <c r="D386" i="8"/>
  <c r="C386" i="8"/>
  <c r="C393" i="8"/>
  <c r="B396" i="8"/>
  <c r="C403" i="8"/>
  <c r="B407" i="8"/>
  <c r="D407" i="8"/>
  <c r="B410" i="8"/>
  <c r="B417" i="8"/>
  <c r="C417" i="8"/>
  <c r="D424" i="8"/>
  <c r="C424" i="8"/>
  <c r="B440" i="8"/>
  <c r="D450" i="8"/>
  <c r="C450" i="8"/>
  <c r="B488" i="8"/>
  <c r="B498" i="8"/>
  <c r="D276" i="8"/>
  <c r="C283" i="8"/>
  <c r="C290" i="8"/>
  <c r="D292" i="8"/>
  <c r="B297" i="8"/>
  <c r="C299" i="8"/>
  <c r="C306" i="8"/>
  <c r="D308" i="8"/>
  <c r="B313" i="8"/>
  <c r="C315" i="8"/>
  <c r="C322" i="8"/>
  <c r="D324" i="8"/>
  <c r="B329" i="8"/>
  <c r="C331" i="8"/>
  <c r="D334" i="8"/>
  <c r="C334" i="8"/>
  <c r="C336" i="8"/>
  <c r="B339" i="8"/>
  <c r="C339" i="8"/>
  <c r="D353" i="8"/>
  <c r="C356" i="8"/>
  <c r="C359" i="8"/>
  <c r="B362" i="8"/>
  <c r="C365" i="8"/>
  <c r="D368" i="8"/>
  <c r="C368" i="8"/>
  <c r="B371" i="8"/>
  <c r="C371" i="8"/>
  <c r="B386" i="8"/>
  <c r="D390" i="8"/>
  <c r="C390" i="8"/>
  <c r="D393" i="8"/>
  <c r="D400" i="8"/>
  <c r="C400" i="8"/>
  <c r="D403" i="8"/>
  <c r="C407" i="8"/>
  <c r="D417" i="8"/>
  <c r="C421" i="8"/>
  <c r="B424" i="8"/>
  <c r="D434" i="8"/>
  <c r="C434" i="8"/>
  <c r="D444" i="8"/>
  <c r="C444" i="8"/>
  <c r="B450" i="8"/>
  <c r="D454" i="8"/>
  <c r="C454" i="8"/>
  <c r="B454" i="8"/>
  <c r="D492" i="8"/>
  <c r="C492" i="8"/>
  <c r="C224" i="8"/>
  <c r="B231" i="8"/>
  <c r="C240" i="8"/>
  <c r="B247" i="8"/>
  <c r="C256" i="8"/>
  <c r="B263" i="8"/>
  <c r="C272" i="8"/>
  <c r="B279" i="8"/>
  <c r="C288" i="8"/>
  <c r="D290" i="8"/>
  <c r="B295" i="8"/>
  <c r="C297" i="8"/>
  <c r="C304" i="8"/>
  <c r="D306" i="8"/>
  <c r="B311" i="8"/>
  <c r="C313" i="8"/>
  <c r="C320" i="8"/>
  <c r="D322" i="8"/>
  <c r="B327" i="8"/>
  <c r="C329" i="8"/>
  <c r="B334" i="8"/>
  <c r="D339" i="8"/>
  <c r="C345" i="8"/>
  <c r="B348" i="8"/>
  <c r="D359" i="8"/>
  <c r="C362" i="8"/>
  <c r="D365" i="8"/>
  <c r="B368" i="8"/>
  <c r="D371" i="8"/>
  <c r="C377" i="8"/>
  <c r="B380" i="8"/>
  <c r="C383" i="8"/>
  <c r="B390" i="8"/>
  <c r="D394" i="8"/>
  <c r="C394" i="8"/>
  <c r="C397" i="8"/>
  <c r="B400" i="8"/>
  <c r="D404" i="8"/>
  <c r="C404" i="8"/>
  <c r="B404" i="8"/>
  <c r="D408" i="8"/>
  <c r="C408" i="8"/>
  <c r="D418" i="8"/>
  <c r="C418" i="8"/>
  <c r="D421" i="8"/>
  <c r="D428" i="8"/>
  <c r="C428" i="8"/>
  <c r="B434" i="8"/>
  <c r="D438" i="8"/>
  <c r="C438" i="8"/>
  <c r="B444" i="8"/>
  <c r="D468" i="8"/>
  <c r="C468" i="8"/>
  <c r="B468" i="8"/>
  <c r="D472" i="8"/>
  <c r="C472" i="8"/>
  <c r="D482" i="8"/>
  <c r="C482" i="8"/>
  <c r="B492" i="8"/>
  <c r="C222" i="8"/>
  <c r="D224" i="8"/>
  <c r="C238" i="8"/>
  <c r="D240" i="8"/>
  <c r="C254" i="8"/>
  <c r="D256" i="8"/>
  <c r="C270" i="8"/>
  <c r="D272" i="8"/>
  <c r="C286" i="8"/>
  <c r="D288" i="8"/>
  <c r="C302" i="8"/>
  <c r="D304" i="8"/>
  <c r="C318" i="8"/>
  <c r="D320" i="8"/>
  <c r="D332" i="8"/>
  <c r="B332" i="8"/>
  <c r="D345" i="8"/>
  <c r="C348" i="8"/>
  <c r="C351" i="8"/>
  <c r="B354" i="8"/>
  <c r="C357" i="8"/>
  <c r="D360" i="8"/>
  <c r="C360" i="8"/>
  <c r="B363" i="8"/>
  <c r="C363" i="8"/>
  <c r="D377" i="8"/>
  <c r="C380" i="8"/>
  <c r="D383" i="8"/>
  <c r="C387" i="8"/>
  <c r="B391" i="8"/>
  <c r="D391" i="8"/>
  <c r="B394" i="8"/>
  <c r="D397" i="8"/>
  <c r="B401" i="8"/>
  <c r="C401" i="8"/>
  <c r="B408" i="8"/>
  <c r="B418" i="8"/>
  <c r="D422" i="8"/>
  <c r="C422" i="8"/>
  <c r="B428" i="8"/>
  <c r="B438" i="8"/>
  <c r="D448" i="8"/>
  <c r="C448" i="8"/>
  <c r="B472" i="8"/>
  <c r="B482" i="8"/>
  <c r="D486" i="8"/>
  <c r="C486" i="8"/>
  <c r="B486" i="8"/>
  <c r="D464" i="8"/>
  <c r="C464" i="8"/>
  <c r="D480" i="8"/>
  <c r="C480" i="8"/>
  <c r="D496" i="8"/>
  <c r="C496" i="8"/>
  <c r="D458" i="8"/>
  <c r="C458" i="8"/>
  <c r="B464" i="8"/>
  <c r="D474" i="8"/>
  <c r="C474" i="8"/>
  <c r="B480" i="8"/>
  <c r="D490" i="8"/>
  <c r="C490" i="8"/>
  <c r="B496" i="8"/>
  <c r="D484" i="8"/>
  <c r="C484" i="8"/>
  <c r="D382" i="8"/>
  <c r="C382" i="8"/>
  <c r="D398" i="8"/>
  <c r="C398" i="8"/>
  <c r="D414" i="8"/>
  <c r="C414" i="8"/>
  <c r="D430" i="8"/>
  <c r="C430" i="8"/>
  <c r="D446" i="8"/>
  <c r="C446" i="8"/>
  <c r="D462" i="8"/>
  <c r="C462" i="8"/>
  <c r="D478" i="8"/>
  <c r="C478" i="8"/>
  <c r="B484" i="8"/>
  <c r="D494" i="8"/>
  <c r="C494" i="8"/>
  <c r="G27" i="7" l="1"/>
  <c r="E34" i="7"/>
  <c r="E38" i="7"/>
  <c r="G20" i="7"/>
  <c r="E14" i="7"/>
  <c r="E8" i="7"/>
  <c r="G8" i="7" s="1"/>
  <c r="D13" i="8"/>
  <c r="G38" i="7"/>
  <c r="D16" i="8"/>
  <c r="D37" i="8"/>
  <c r="E12" i="7"/>
  <c r="G12" i="7" s="1"/>
  <c r="G6" i="7"/>
  <c r="G29" i="7"/>
  <c r="D24" i="8"/>
  <c r="E40" i="7"/>
  <c r="G40" i="7" s="1"/>
  <c r="E16" i="7"/>
  <c r="G16" i="7" s="1"/>
  <c r="E30" i="7"/>
  <c r="G30" i="7" s="1"/>
  <c r="D30" i="8"/>
  <c r="D21" i="8"/>
  <c r="E48" i="7"/>
  <c r="G48" i="7" s="1"/>
  <c r="D10" i="8"/>
  <c r="E46" i="7"/>
  <c r="G46" i="7" s="1"/>
  <c r="E32" i="7"/>
  <c r="G32" i="7" s="1"/>
  <c r="E4" i="7"/>
  <c r="G4" i="7" s="1"/>
  <c r="E28" i="7"/>
  <c r="G28" i="7" s="1"/>
  <c r="D12" i="8"/>
  <c r="E23" i="7"/>
  <c r="G23" i="7" s="1"/>
  <c r="E49" i="7"/>
  <c r="G49" i="7" s="1"/>
  <c r="E13" i="7"/>
  <c r="G13" i="7" s="1"/>
  <c r="E18" i="7"/>
  <c r="G18" i="7" s="1"/>
  <c r="E19" i="7"/>
  <c r="G19" i="7" s="1"/>
  <c r="D27" i="8"/>
  <c r="D29" i="8"/>
  <c r="E15" i="7"/>
  <c r="G15" i="7" s="1"/>
  <c r="E43" i="7"/>
  <c r="G43" i="7" s="1"/>
  <c r="E47" i="7"/>
  <c r="G47" i="7" s="1"/>
  <c r="D19" i="8"/>
  <c r="E25" i="7"/>
  <c r="G25" i="7" s="1"/>
  <c r="E41" i="7"/>
  <c r="G41" i="7" s="1"/>
  <c r="E24" i="7"/>
  <c r="G24" i="7" s="1"/>
  <c r="D31" i="8"/>
  <c r="E21" i="7"/>
  <c r="G21" i="7" s="1"/>
  <c r="E45" i="7"/>
  <c r="G45" i="7" s="1"/>
  <c r="E37" i="7"/>
  <c r="G37" i="7" s="1"/>
  <c r="D36" i="8"/>
  <c r="G14" i="7"/>
  <c r="E31" i="7"/>
  <c r="G31" i="7" s="1"/>
  <c r="E7" i="7"/>
  <c r="G7" i="7" s="1"/>
  <c r="D4" i="8"/>
  <c r="E2" i="7"/>
  <c r="G2" i="7" s="1"/>
  <c r="E44" i="7"/>
  <c r="G44" i="7" s="1"/>
  <c r="E26" i="7"/>
  <c r="G26" i="7" s="1"/>
  <c r="D23" i="8"/>
  <c r="E22" i="7"/>
  <c r="G22" i="7" s="1"/>
  <c r="D18" i="8"/>
  <c r="E52" i="7"/>
  <c r="G52" i="7" s="1"/>
  <c r="E10" i="7"/>
  <c r="G10" i="7" s="1"/>
  <c r="E50" i="7"/>
  <c r="G50" i="7" s="1"/>
  <c r="E9" i="7"/>
  <c r="G9" i="7" s="1"/>
  <c r="E11" i="7"/>
  <c r="G11" i="7" s="1"/>
  <c r="E35" i="7"/>
  <c r="G35" i="7" s="1"/>
  <c r="D35" i="8"/>
  <c r="E39" i="7"/>
  <c r="G39" i="7" s="1"/>
  <c r="E17" i="7"/>
  <c r="G17" i="7" s="1"/>
  <c r="E42" i="7"/>
  <c r="G42" i="7" s="1"/>
  <c r="G34" i="7"/>
  <c r="G51" i="7"/>
  <c r="G36" i="7"/>
  <c r="E33" i="7"/>
  <c r="G33" i="7" s="1"/>
  <c r="E5" i="7"/>
  <c r="G5" i="7" s="1"/>
  <c r="E3" i="7"/>
  <c r="G3" i="7" s="1"/>
  <c r="B3" i="10"/>
  <c r="D3" i="8"/>
  <c r="B4" i="10"/>
  <c r="D9" i="8"/>
  <c r="B2" i="10" l="1"/>
  <c r="B5" i="10"/>
</calcChain>
</file>

<file path=xl/sharedStrings.xml><?xml version="1.0" encoding="utf-8"?>
<sst xmlns="http://schemas.openxmlformats.org/spreadsheetml/2006/main" count="641" uniqueCount="243">
  <si>
    <t>Product Code</t>
  </si>
  <si>
    <t>Product Name</t>
  </si>
  <si>
    <t>UOM</t>
  </si>
  <si>
    <t>FG001</t>
  </si>
  <si>
    <t>YOLO STRAW</t>
  </si>
  <si>
    <t>FG002</t>
  </si>
  <si>
    <t>AVION STRAWS</t>
  </si>
  <si>
    <t>RM Code</t>
  </si>
  <si>
    <t>Raw Material</t>
  </si>
  <si>
    <t>Opening Stock</t>
  </si>
  <si>
    <t>RM Price</t>
  </si>
  <si>
    <t>Min Stock</t>
  </si>
  <si>
    <t>RM001</t>
  </si>
  <si>
    <t>PP</t>
  </si>
  <si>
    <t>KG</t>
  </si>
  <si>
    <t>RM002</t>
  </si>
  <si>
    <t>RM003</t>
  </si>
  <si>
    <t>YOLO INNER KAVERA</t>
  </si>
  <si>
    <t>PCS</t>
  </si>
  <si>
    <t>RM004</t>
  </si>
  <si>
    <t>Finished Product</t>
  </si>
  <si>
    <t>Standard Qty Per Unit</t>
  </si>
  <si>
    <t>Date</t>
  </si>
  <si>
    <t>Invoice No</t>
  </si>
  <si>
    <t>Supplier</t>
  </si>
  <si>
    <t>Qty</t>
  </si>
  <si>
    <t>Rate</t>
  </si>
  <si>
    <t>Purchase Value</t>
  </si>
  <si>
    <t>Product</t>
  </si>
  <si>
    <t>Qty Produced</t>
  </si>
  <si>
    <t>RM1</t>
  </si>
  <si>
    <t>Qty1</t>
  </si>
  <si>
    <t>RM2</t>
  </si>
  <si>
    <t>Qty2</t>
  </si>
  <si>
    <t>RM3</t>
  </si>
  <si>
    <t>Qty3</t>
  </si>
  <si>
    <t>RM4</t>
  </si>
  <si>
    <t>Qty4</t>
  </si>
  <si>
    <t>RM5</t>
  </si>
  <si>
    <t>Qty5</t>
  </si>
  <si>
    <t>RM6</t>
  </si>
  <si>
    <t>Qty6</t>
  </si>
  <si>
    <t>Customer</t>
  </si>
  <si>
    <t>Qty Sold</t>
  </si>
  <si>
    <t>Sales Value</t>
  </si>
  <si>
    <t>Purchased Qty</t>
  </si>
  <si>
    <t>Actual Consumption</t>
  </si>
  <si>
    <t>Closing Stock</t>
  </si>
  <si>
    <t>Stock Value</t>
  </si>
  <si>
    <t>Produced Qty</t>
  </si>
  <si>
    <t>Sold Qty</t>
  </si>
  <si>
    <t>Balance Stock</t>
  </si>
  <si>
    <t>Standard Consumption</t>
  </si>
  <si>
    <t>Variance</t>
  </si>
  <si>
    <t>Metric</t>
  </si>
  <si>
    <t>Value</t>
  </si>
  <si>
    <t>Total RM Stock Value</t>
  </si>
  <si>
    <t>Total FG Produced</t>
  </si>
  <si>
    <t>Total FG Sold</t>
  </si>
  <si>
    <t>Current FG Stock</t>
  </si>
  <si>
    <t>Total Purchase Value</t>
  </si>
  <si>
    <t>Total Sales Value</t>
  </si>
  <si>
    <t>CTNS</t>
  </si>
  <si>
    <t>WAVEX STRAWS</t>
  </si>
  <si>
    <t>FG003</t>
  </si>
  <si>
    <t>CHINESE JUICE STRAWS</t>
  </si>
  <si>
    <t>KGS</t>
  </si>
  <si>
    <t>FG004</t>
  </si>
  <si>
    <t>MUZURI STICKS 105MM</t>
  </si>
  <si>
    <t>FG005</t>
  </si>
  <si>
    <t>MUZURI STICKS 69MM</t>
  </si>
  <si>
    <t>FG006</t>
  </si>
  <si>
    <t>MUZURI STICKS 175MM</t>
  </si>
  <si>
    <t>FG007</t>
  </si>
  <si>
    <t>CANDY STICKS 95MM</t>
  </si>
  <si>
    <t>FG008</t>
  </si>
  <si>
    <t>MUKONO STICKS 175MM</t>
  </si>
  <si>
    <t>FG009</t>
  </si>
  <si>
    <t>MUKONO STICKS 105MM</t>
  </si>
  <si>
    <t>FG010</t>
  </si>
  <si>
    <t>NEW STICK CUSTOMER 1</t>
  </si>
  <si>
    <t>FG011</t>
  </si>
  <si>
    <t>NEW STICK CUSTOMER 2</t>
  </si>
  <si>
    <t>FG012</t>
  </si>
  <si>
    <t>NEW STICK CUSTOMER 3</t>
  </si>
  <si>
    <t>FG013</t>
  </si>
  <si>
    <t>NEW STICK CUSTOMER 4</t>
  </si>
  <si>
    <t>FG014</t>
  </si>
  <si>
    <t>NEW STICK CUSTOMER 5</t>
  </si>
  <si>
    <t>FG015</t>
  </si>
  <si>
    <t>NEW STICK CUSTOMER 6</t>
  </si>
  <si>
    <t>FG016</t>
  </si>
  <si>
    <t>NEW STICK CUSTOMER 7</t>
  </si>
  <si>
    <t>FG017</t>
  </si>
  <si>
    <t>NEW STICK CUSTOMER 8</t>
  </si>
  <si>
    <t>FG018</t>
  </si>
  <si>
    <t>AVION 10 MTR X 45CM FOIL</t>
  </si>
  <si>
    <t>FG019</t>
  </si>
  <si>
    <t>AVION 30 MTR X 45CM FOIL</t>
  </si>
  <si>
    <t>FG020</t>
  </si>
  <si>
    <t>AVION 90 MTR X 45CM FOIL</t>
  </si>
  <si>
    <t>FG021</t>
  </si>
  <si>
    <t>AVION 150 MTR X 45CM FOIL</t>
  </si>
  <si>
    <t>FG022</t>
  </si>
  <si>
    <t>AVION 5 MTR X 30CM FOIL</t>
  </si>
  <si>
    <t>FG023</t>
  </si>
  <si>
    <t>GOLDEN 150 MTR X 30CM FOIL</t>
  </si>
  <si>
    <t>FG024</t>
  </si>
  <si>
    <t>GOLDEN 30 MTR X 45CM FOIL</t>
  </si>
  <si>
    <t>FG025</t>
  </si>
  <si>
    <t>GOLDEN 50 MTR X 45CM FOIL</t>
  </si>
  <si>
    <t>FG026</t>
  </si>
  <si>
    <t>NON GOLDEN 19 MTR X 45CM FOIL</t>
  </si>
  <si>
    <t>FG027</t>
  </si>
  <si>
    <t>GOLDEN 75 MTR X. 45CM CLING FILM</t>
  </si>
  <si>
    <t>FG028</t>
  </si>
  <si>
    <t>AVION 100 MTR X 45 CM CLING FILM</t>
  </si>
  <si>
    <t>FG029</t>
  </si>
  <si>
    <t>AVION 300 MTR X 45 CM CLING FILM</t>
  </si>
  <si>
    <t>FG030</t>
  </si>
  <si>
    <t>NON GOLDEN 50 MTR X. 45CM CLING FILM</t>
  </si>
  <si>
    <t>FG031</t>
  </si>
  <si>
    <t>AVION MEDIUM SILVER PLATE 8389(45m)</t>
  </si>
  <si>
    <t>FG032</t>
  </si>
  <si>
    <t>AVION MEDIUM SILVER PLATE 8389(41m)</t>
  </si>
  <si>
    <t>FG033</t>
  </si>
  <si>
    <t>AVION SMALL SILVER PLATE 8342</t>
  </si>
  <si>
    <t>FG034</t>
  </si>
  <si>
    <t>AVION MEDIUM LIDS 8389</t>
  </si>
  <si>
    <t>FG035</t>
  </si>
  <si>
    <t>AVION SMALL LIDS 8342</t>
  </si>
  <si>
    <t>FG036</t>
  </si>
  <si>
    <t>FG037</t>
  </si>
  <si>
    <t>NON GOLDEN 25 MTR FOIL</t>
  </si>
  <si>
    <t>MASTER BATCH PINK</t>
  </si>
  <si>
    <t>MASTER BATCH WHITE</t>
  </si>
  <si>
    <t>AVION INNER KAVERA</t>
  </si>
  <si>
    <t>WAVEX INNER KAVERA</t>
  </si>
  <si>
    <t>RM005</t>
  </si>
  <si>
    <t>AVION OUTER KAVERA</t>
  </si>
  <si>
    <t>RM006</t>
  </si>
  <si>
    <t>WAVEX OUTER KAVERA</t>
  </si>
  <si>
    <t>RM007</t>
  </si>
  <si>
    <t>WRAPPING PAPPER</t>
  </si>
  <si>
    <t>RM008</t>
  </si>
  <si>
    <t>STICK KAVERA</t>
  </si>
  <si>
    <t>RM009</t>
  </si>
  <si>
    <t>CHINESE KAVERA</t>
  </si>
  <si>
    <t>RM010</t>
  </si>
  <si>
    <t>14 MICRON FOIL 45 CM</t>
  </si>
  <si>
    <t>RM011</t>
  </si>
  <si>
    <t>RM012</t>
  </si>
  <si>
    <t>GOLDEN PVC OUTER(1 X25)</t>
  </si>
  <si>
    <t>RM013</t>
  </si>
  <si>
    <t>GOLDEN FOIL OUTER(1 X25)</t>
  </si>
  <si>
    <t>RM014</t>
  </si>
  <si>
    <t>AVION FOIL OUTER (1 X25)</t>
  </si>
  <si>
    <t>RM015</t>
  </si>
  <si>
    <t>CYRSTAL WRAP OUTER -5m(1 X25)</t>
  </si>
  <si>
    <t>RM016</t>
  </si>
  <si>
    <t>CYRSTAL WRAP OUTER -10m(1 X25)</t>
  </si>
  <si>
    <t>RM017</t>
  </si>
  <si>
    <t>CONTAINER OUTER 8342</t>
  </si>
  <si>
    <t>RM018</t>
  </si>
  <si>
    <t>CONTAINER OUTER 8389</t>
  </si>
  <si>
    <t>RM019</t>
  </si>
  <si>
    <t>CONTAINER LIDS OUTER : 8342 (1 X 25 )</t>
  </si>
  <si>
    <t>RM020</t>
  </si>
  <si>
    <t>CONTAINER LIDS OUTER 8389</t>
  </si>
  <si>
    <t>RM021</t>
  </si>
  <si>
    <t>GOLDEN FOIL INNER 45CM( 1 X 25 )</t>
  </si>
  <si>
    <t>RM022</t>
  </si>
  <si>
    <t>GOLDEN PVC INNER 45 cm (1 X 25 )</t>
  </si>
  <si>
    <t>RM023</t>
  </si>
  <si>
    <t>NON GOLDEN FOIL INNER 45cm( 1 X 100 )</t>
  </si>
  <si>
    <t>RM024</t>
  </si>
  <si>
    <t>GOLDEN FOIL INNER 30cm(1 X 25 )</t>
  </si>
  <si>
    <t>RM025</t>
  </si>
  <si>
    <t>LAMINATER GOLDEN FOIL INNER 30cm (1 X 30 )</t>
  </si>
  <si>
    <t>RM026</t>
  </si>
  <si>
    <t>CYRSTAL WRAP INNER -5m</t>
  </si>
  <si>
    <t>RM027</t>
  </si>
  <si>
    <t>CYRSTAL WRAP INNER -10m</t>
  </si>
  <si>
    <t>RM028</t>
  </si>
  <si>
    <t>PAPER CORE 31 MM</t>
  </si>
  <si>
    <t>RM029</t>
  </si>
  <si>
    <t>AVION FOIL LABEL 30mtr</t>
  </si>
  <si>
    <t>RM030</t>
  </si>
  <si>
    <t>AVION FOIL LABEL 90mtr</t>
  </si>
  <si>
    <t>RM031</t>
  </si>
  <si>
    <t>AVION FOIL LABEL 150mtr</t>
  </si>
  <si>
    <t>RM032</t>
  </si>
  <si>
    <t>AVION FOIL 850 MTR LABEL</t>
  </si>
  <si>
    <t>RM033</t>
  </si>
  <si>
    <t>BLADES 45cm ( Each bundles : 0.84 grm )</t>
  </si>
  <si>
    <t>RM034</t>
  </si>
  <si>
    <t>BLADES 30cm ( Each bundles : 0.grm )</t>
  </si>
  <si>
    <t>RM035</t>
  </si>
  <si>
    <t>AVION JUMBO CLING</t>
  </si>
  <si>
    <t>RM036</t>
  </si>
  <si>
    <t>RM037</t>
  </si>
  <si>
    <t>AVION 100 MTR CLING INNER CARTON</t>
  </si>
  <si>
    <t>RM038</t>
  </si>
  <si>
    <t>AVION 100 MTR CLING OUTER CARTON</t>
  </si>
  <si>
    <t>RM039</t>
  </si>
  <si>
    <t>AVION 300 MTR CLING CARTON</t>
  </si>
  <si>
    <t>RM040</t>
  </si>
  <si>
    <t>45 MICRON FOIL 43.2 CM</t>
  </si>
  <si>
    <t>RM041</t>
  </si>
  <si>
    <t>41 MICRON FOIL 43.2 CM</t>
  </si>
  <si>
    <t>RM042</t>
  </si>
  <si>
    <t>37 MICRON FOIL 37.5 CM</t>
  </si>
  <si>
    <t>RM043</t>
  </si>
  <si>
    <t>900X700MM LID PAPER</t>
  </si>
  <si>
    <t>RM044</t>
  </si>
  <si>
    <t>950X600MM LID PAPER</t>
  </si>
  <si>
    <t>RM045</t>
  </si>
  <si>
    <t>PAPER CORE 37 MM</t>
  </si>
  <si>
    <t>RM046</t>
  </si>
  <si>
    <t>INNER CARTON</t>
  </si>
  <si>
    <t>RM047</t>
  </si>
  <si>
    <t>14 MICRON FOIL 30 CM</t>
  </si>
  <si>
    <t>RM048</t>
  </si>
  <si>
    <t>PAPER CORE 35 MM</t>
  </si>
  <si>
    <t>RM049</t>
  </si>
  <si>
    <t>PAPER CORE 76 MM</t>
  </si>
  <si>
    <t>RM050</t>
  </si>
  <si>
    <t>PAPER CORE GENERAL</t>
  </si>
  <si>
    <t>RM051</t>
  </si>
  <si>
    <t>FILLER</t>
  </si>
  <si>
    <t>AVION 10 MTR FOIL</t>
  </si>
  <si>
    <t>AVION 30 MTR FOIL</t>
  </si>
  <si>
    <t>AVION    FOIL OUTER               (1 X25)</t>
  </si>
  <si>
    <t>AVION 90 MTR FOIL</t>
  </si>
  <si>
    <t>AVION 150 MTR FOIL</t>
  </si>
  <si>
    <t>AVION 5 MTR FOIL</t>
  </si>
  <si>
    <t>GOLDEN 30 MTR FOIL</t>
  </si>
  <si>
    <t>GOLDEN 50 MTR FOIL</t>
  </si>
  <si>
    <t>AVION STRAW</t>
  </si>
  <si>
    <t>WAVEX STRAW</t>
  </si>
  <si>
    <t>GOLDEN 25 MTR FOIL</t>
  </si>
  <si>
    <t>JALSHI OFFICE</t>
  </si>
  <si>
    <t>SOMUCHEM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</si>
</sst>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opLeftCell="A12" workbookViewId="0">
      <selection activeCell="H28" sqref="H28"/>
    </sheetView>
  </sheetViews>
  <sheetFormatPr baseColWidth="10" defaultColWidth="8.83203125" defaultRowHeight="15" x14ac:dyDescent="0.2"/>
  <cols>
    <col min="1" max="3" width="24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6</v>
      </c>
      <c r="C2" t="s">
        <v>62</v>
      </c>
    </row>
    <row r="3" spans="1:3" x14ac:dyDescent="0.2">
      <c r="A3" t="s">
        <v>5</v>
      </c>
      <c r="B3" t="s">
        <v>63</v>
      </c>
      <c r="C3" t="s">
        <v>62</v>
      </c>
    </row>
    <row r="4" spans="1:3" x14ac:dyDescent="0.2">
      <c r="A4" t="s">
        <v>64</v>
      </c>
      <c r="B4" t="s">
        <v>65</v>
      </c>
      <c r="C4" t="s">
        <v>66</v>
      </c>
    </row>
    <row r="5" spans="1:3" x14ac:dyDescent="0.2">
      <c r="A5" t="s">
        <v>67</v>
      </c>
      <c r="B5" t="s">
        <v>68</v>
      </c>
      <c r="C5" t="s">
        <v>66</v>
      </c>
    </row>
    <row r="6" spans="1:3" x14ac:dyDescent="0.2">
      <c r="A6" t="s">
        <v>69</v>
      </c>
      <c r="B6" t="s">
        <v>70</v>
      </c>
      <c r="C6" t="s">
        <v>66</v>
      </c>
    </row>
    <row r="7" spans="1:3" x14ac:dyDescent="0.2">
      <c r="A7" t="s">
        <v>71</v>
      </c>
      <c r="B7" t="s">
        <v>72</v>
      </c>
      <c r="C7" t="s">
        <v>66</v>
      </c>
    </row>
    <row r="8" spans="1:3" x14ac:dyDescent="0.2">
      <c r="A8" t="s">
        <v>73</v>
      </c>
      <c r="B8" t="s">
        <v>74</v>
      </c>
      <c r="C8" t="s">
        <v>66</v>
      </c>
    </row>
    <row r="9" spans="1:3" x14ac:dyDescent="0.2">
      <c r="A9" t="s">
        <v>75</v>
      </c>
      <c r="B9" t="s">
        <v>76</v>
      </c>
      <c r="C9" t="s">
        <v>66</v>
      </c>
    </row>
    <row r="10" spans="1:3" x14ac:dyDescent="0.2">
      <c r="A10" t="s">
        <v>77</v>
      </c>
      <c r="B10" t="s">
        <v>78</v>
      </c>
      <c r="C10" t="s">
        <v>66</v>
      </c>
    </row>
    <row r="11" spans="1:3" x14ac:dyDescent="0.2">
      <c r="A11" t="s">
        <v>79</v>
      </c>
      <c r="B11" t="s">
        <v>80</v>
      </c>
      <c r="C11" t="s">
        <v>66</v>
      </c>
    </row>
    <row r="12" spans="1:3" x14ac:dyDescent="0.2">
      <c r="A12" t="s">
        <v>81</v>
      </c>
      <c r="B12" t="s">
        <v>82</v>
      </c>
      <c r="C12" t="s">
        <v>66</v>
      </c>
    </row>
    <row r="13" spans="1:3" x14ac:dyDescent="0.2">
      <c r="A13" t="s">
        <v>83</v>
      </c>
      <c r="B13" t="s">
        <v>84</v>
      </c>
      <c r="C13" t="s">
        <v>66</v>
      </c>
    </row>
    <row r="14" spans="1:3" x14ac:dyDescent="0.2">
      <c r="A14" t="s">
        <v>85</v>
      </c>
      <c r="B14" t="s">
        <v>86</v>
      </c>
      <c r="C14" t="s">
        <v>66</v>
      </c>
    </row>
    <row r="15" spans="1:3" x14ac:dyDescent="0.2">
      <c r="A15" t="s">
        <v>87</v>
      </c>
      <c r="B15" t="s">
        <v>88</v>
      </c>
      <c r="C15" t="s">
        <v>66</v>
      </c>
    </row>
    <row r="16" spans="1:3" x14ac:dyDescent="0.2">
      <c r="A16" t="s">
        <v>89</v>
      </c>
      <c r="B16" t="s">
        <v>90</v>
      </c>
      <c r="C16" t="s">
        <v>66</v>
      </c>
    </row>
    <row r="17" spans="1:3" x14ac:dyDescent="0.2">
      <c r="A17" t="s">
        <v>91</v>
      </c>
      <c r="B17" t="s">
        <v>92</v>
      </c>
      <c r="C17" t="s">
        <v>66</v>
      </c>
    </row>
    <row r="18" spans="1:3" x14ac:dyDescent="0.2">
      <c r="A18" t="s">
        <v>93</v>
      </c>
      <c r="B18" t="s">
        <v>94</v>
      </c>
      <c r="C18" t="s">
        <v>66</v>
      </c>
    </row>
    <row r="19" spans="1:3" x14ac:dyDescent="0.2">
      <c r="A19" t="s">
        <v>95</v>
      </c>
      <c r="B19" t="s">
        <v>96</v>
      </c>
      <c r="C19" t="s">
        <v>62</v>
      </c>
    </row>
    <row r="20" spans="1:3" x14ac:dyDescent="0.2">
      <c r="A20" t="s">
        <v>97</v>
      </c>
      <c r="B20" t="s">
        <v>98</v>
      </c>
      <c r="C20" t="s">
        <v>62</v>
      </c>
    </row>
    <row r="21" spans="1:3" x14ac:dyDescent="0.2">
      <c r="A21" t="s">
        <v>99</v>
      </c>
      <c r="B21" t="s">
        <v>100</v>
      </c>
      <c r="C21" t="s">
        <v>62</v>
      </c>
    </row>
    <row r="22" spans="1:3" x14ac:dyDescent="0.2">
      <c r="A22" t="s">
        <v>101</v>
      </c>
      <c r="B22" t="s">
        <v>102</v>
      </c>
      <c r="C22" t="s">
        <v>62</v>
      </c>
    </row>
    <row r="23" spans="1:3" x14ac:dyDescent="0.2">
      <c r="A23" t="s">
        <v>103</v>
      </c>
      <c r="B23" t="s">
        <v>104</v>
      </c>
      <c r="C23" t="s">
        <v>62</v>
      </c>
    </row>
    <row r="24" spans="1:3" x14ac:dyDescent="0.2">
      <c r="A24" t="s">
        <v>105</v>
      </c>
      <c r="B24" t="s">
        <v>106</v>
      </c>
      <c r="C24" t="s">
        <v>62</v>
      </c>
    </row>
    <row r="25" spans="1:3" x14ac:dyDescent="0.2">
      <c r="A25" t="s">
        <v>107</v>
      </c>
      <c r="B25" t="s">
        <v>108</v>
      </c>
      <c r="C25" t="s">
        <v>62</v>
      </c>
    </row>
    <row r="26" spans="1:3" x14ac:dyDescent="0.2">
      <c r="A26" t="s">
        <v>109</v>
      </c>
      <c r="B26" t="s">
        <v>110</v>
      </c>
      <c r="C26" t="s">
        <v>62</v>
      </c>
    </row>
    <row r="27" spans="1:3" x14ac:dyDescent="0.2">
      <c r="A27" t="s">
        <v>111</v>
      </c>
      <c r="B27" t="s">
        <v>112</v>
      </c>
      <c r="C27" t="s">
        <v>62</v>
      </c>
    </row>
    <row r="28" spans="1:3" x14ac:dyDescent="0.2">
      <c r="A28" t="s">
        <v>113</v>
      </c>
      <c r="B28" t="s">
        <v>114</v>
      </c>
      <c r="C28" t="s">
        <v>62</v>
      </c>
    </row>
    <row r="29" spans="1:3" x14ac:dyDescent="0.2">
      <c r="A29" t="s">
        <v>115</v>
      </c>
      <c r="B29" t="s">
        <v>116</v>
      </c>
      <c r="C29" t="s">
        <v>62</v>
      </c>
    </row>
    <row r="30" spans="1:3" x14ac:dyDescent="0.2">
      <c r="A30" t="s">
        <v>117</v>
      </c>
      <c r="B30" t="s">
        <v>118</v>
      </c>
      <c r="C30" t="s">
        <v>62</v>
      </c>
    </row>
    <row r="31" spans="1:3" x14ac:dyDescent="0.2">
      <c r="A31" t="s">
        <v>119</v>
      </c>
      <c r="B31" t="s">
        <v>120</v>
      </c>
      <c r="C31" t="s">
        <v>62</v>
      </c>
    </row>
    <row r="32" spans="1:3" x14ac:dyDescent="0.2">
      <c r="A32" t="s">
        <v>121</v>
      </c>
      <c r="B32" t="s">
        <v>122</v>
      </c>
      <c r="C32" t="s">
        <v>62</v>
      </c>
    </row>
    <row r="33" spans="1:3" x14ac:dyDescent="0.2">
      <c r="A33" t="s">
        <v>123</v>
      </c>
      <c r="B33" t="s">
        <v>124</v>
      </c>
      <c r="C33" t="s">
        <v>62</v>
      </c>
    </row>
    <row r="34" spans="1:3" x14ac:dyDescent="0.2">
      <c r="A34" t="s">
        <v>125</v>
      </c>
      <c r="B34" t="s">
        <v>126</v>
      </c>
      <c r="C34" t="s">
        <v>62</v>
      </c>
    </row>
    <row r="35" spans="1:3" x14ac:dyDescent="0.2">
      <c r="A35" t="s">
        <v>127</v>
      </c>
      <c r="B35" t="s">
        <v>128</v>
      </c>
      <c r="C35" t="s">
        <v>62</v>
      </c>
    </row>
    <row r="36" spans="1:3" x14ac:dyDescent="0.2">
      <c r="A36" t="s">
        <v>129</v>
      </c>
      <c r="B36" t="s">
        <v>130</v>
      </c>
      <c r="C36" t="s">
        <v>62</v>
      </c>
    </row>
    <row r="37" spans="1:3" x14ac:dyDescent="0.2">
      <c r="A37" t="s">
        <v>131</v>
      </c>
      <c r="B37" t="s">
        <v>4</v>
      </c>
      <c r="C37" t="s">
        <v>62</v>
      </c>
    </row>
    <row r="38" spans="1:3" x14ac:dyDescent="0.2">
      <c r="A38" t="s">
        <v>132</v>
      </c>
      <c r="B38" t="s">
        <v>133</v>
      </c>
      <c r="C38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workbookViewId="0">
      <selection activeCell="B2" sqref="B2:B52"/>
    </sheetView>
  </sheetViews>
  <sheetFormatPr baseColWidth="10" defaultColWidth="8.83203125" defaultRowHeight="15" x14ac:dyDescent="0.2"/>
  <cols>
    <col min="1" max="6" width="24" customWidth="1"/>
  </cols>
  <sheetData>
    <row r="1" spans="1:6" x14ac:dyDescent="0.2">
      <c r="A1" s="1" t="s">
        <v>7</v>
      </c>
      <c r="B1" s="1" t="s">
        <v>8</v>
      </c>
      <c r="C1" s="1" t="s">
        <v>2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12</v>
      </c>
      <c r="B2" s="2" t="s">
        <v>134</v>
      </c>
      <c r="C2" t="s">
        <v>14</v>
      </c>
      <c r="D2">
        <v>1500</v>
      </c>
      <c r="E2">
        <v>1000</v>
      </c>
      <c r="F2">
        <v>1000</v>
      </c>
    </row>
    <row r="3" spans="1:6" x14ac:dyDescent="0.2">
      <c r="A3" t="s">
        <v>15</v>
      </c>
      <c r="B3" s="2" t="s">
        <v>135</v>
      </c>
      <c r="C3" t="s">
        <v>14</v>
      </c>
      <c r="D3">
        <v>1500</v>
      </c>
      <c r="E3">
        <v>200</v>
      </c>
      <c r="F3">
        <v>1000</v>
      </c>
    </row>
    <row r="4" spans="1:6" x14ac:dyDescent="0.2">
      <c r="A4" t="s">
        <v>16</v>
      </c>
      <c r="B4" s="2" t="s">
        <v>136</v>
      </c>
      <c r="C4" t="s">
        <v>14</v>
      </c>
      <c r="D4">
        <v>1500</v>
      </c>
      <c r="E4">
        <v>200</v>
      </c>
      <c r="F4">
        <v>1000</v>
      </c>
    </row>
    <row r="5" spans="1:6" x14ac:dyDescent="0.2">
      <c r="A5" t="s">
        <v>19</v>
      </c>
      <c r="B5" s="2" t="s">
        <v>137</v>
      </c>
      <c r="C5" t="s">
        <v>14</v>
      </c>
      <c r="D5">
        <v>1500</v>
      </c>
      <c r="E5">
        <v>200</v>
      </c>
      <c r="F5">
        <v>1000</v>
      </c>
    </row>
    <row r="6" spans="1:6" x14ac:dyDescent="0.2">
      <c r="A6" t="s">
        <v>138</v>
      </c>
      <c r="B6" s="3" t="s">
        <v>139</v>
      </c>
      <c r="C6" t="s">
        <v>14</v>
      </c>
      <c r="D6">
        <v>1500</v>
      </c>
      <c r="E6">
        <v>200</v>
      </c>
      <c r="F6">
        <v>1000</v>
      </c>
    </row>
    <row r="7" spans="1:6" x14ac:dyDescent="0.2">
      <c r="A7" t="s">
        <v>140</v>
      </c>
      <c r="B7" s="2" t="s">
        <v>141</v>
      </c>
      <c r="C7" t="s">
        <v>14</v>
      </c>
      <c r="D7">
        <v>1500</v>
      </c>
      <c r="E7">
        <v>200</v>
      </c>
      <c r="F7">
        <v>1000</v>
      </c>
    </row>
    <row r="8" spans="1:6" x14ac:dyDescent="0.2">
      <c r="A8" t="s">
        <v>142</v>
      </c>
      <c r="B8" s="2" t="s">
        <v>143</v>
      </c>
      <c r="C8" t="s">
        <v>14</v>
      </c>
      <c r="D8">
        <v>1500</v>
      </c>
      <c r="E8">
        <v>200</v>
      </c>
      <c r="F8">
        <v>1000</v>
      </c>
    </row>
    <row r="9" spans="1:6" x14ac:dyDescent="0.2">
      <c r="A9" t="s">
        <v>144</v>
      </c>
      <c r="B9" s="2" t="s">
        <v>145</v>
      </c>
      <c r="C9" t="s">
        <v>14</v>
      </c>
      <c r="D9">
        <v>1500</v>
      </c>
      <c r="E9">
        <v>200</v>
      </c>
      <c r="F9">
        <v>1000</v>
      </c>
    </row>
    <row r="10" spans="1:6" x14ac:dyDescent="0.2">
      <c r="A10" t="s">
        <v>146</v>
      </c>
      <c r="B10" s="2" t="s">
        <v>147</v>
      </c>
      <c r="C10" t="s">
        <v>14</v>
      </c>
      <c r="D10">
        <v>1500</v>
      </c>
      <c r="E10">
        <v>200</v>
      </c>
      <c r="F10">
        <v>1000</v>
      </c>
    </row>
    <row r="11" spans="1:6" x14ac:dyDescent="0.2">
      <c r="A11" t="s">
        <v>148</v>
      </c>
      <c r="B11" s="2" t="s">
        <v>149</v>
      </c>
      <c r="C11" t="s">
        <v>14</v>
      </c>
      <c r="D11">
        <v>1500</v>
      </c>
      <c r="E11">
        <v>200</v>
      </c>
      <c r="F11">
        <v>1000</v>
      </c>
    </row>
    <row r="12" spans="1:6" x14ac:dyDescent="0.2">
      <c r="A12" t="s">
        <v>150</v>
      </c>
      <c r="B12" s="2" t="s">
        <v>17</v>
      </c>
      <c r="C12" t="s">
        <v>14</v>
      </c>
      <c r="D12">
        <v>1500</v>
      </c>
      <c r="E12">
        <v>200</v>
      </c>
      <c r="F12">
        <v>1000</v>
      </c>
    </row>
    <row r="13" spans="1:6" x14ac:dyDescent="0.2">
      <c r="A13" t="s">
        <v>151</v>
      </c>
      <c r="B13" s="2" t="s">
        <v>152</v>
      </c>
      <c r="C13" t="s">
        <v>18</v>
      </c>
      <c r="D13">
        <v>1500</v>
      </c>
      <c r="E13">
        <v>200</v>
      </c>
      <c r="F13">
        <v>1000</v>
      </c>
    </row>
    <row r="14" spans="1:6" x14ac:dyDescent="0.2">
      <c r="A14" t="s">
        <v>153</v>
      </c>
      <c r="B14" s="2" t="s">
        <v>154</v>
      </c>
      <c r="C14" t="s">
        <v>18</v>
      </c>
      <c r="D14">
        <v>1500</v>
      </c>
      <c r="E14">
        <v>200</v>
      </c>
      <c r="F14">
        <v>1000</v>
      </c>
    </row>
    <row r="15" spans="1:6" x14ac:dyDescent="0.2">
      <c r="A15" t="s">
        <v>155</v>
      </c>
      <c r="B15" s="2" t="s">
        <v>156</v>
      </c>
      <c r="C15" t="s">
        <v>18</v>
      </c>
      <c r="D15">
        <v>1500</v>
      </c>
      <c r="E15">
        <v>200</v>
      </c>
      <c r="F15">
        <v>1000</v>
      </c>
    </row>
    <row r="16" spans="1:6" x14ac:dyDescent="0.2">
      <c r="A16" t="s">
        <v>157</v>
      </c>
      <c r="B16" s="2" t="s">
        <v>158</v>
      </c>
      <c r="C16" t="s">
        <v>18</v>
      </c>
      <c r="D16">
        <v>1500</v>
      </c>
      <c r="E16">
        <v>200</v>
      </c>
      <c r="F16">
        <v>1000</v>
      </c>
    </row>
    <row r="17" spans="1:6" x14ac:dyDescent="0.2">
      <c r="A17" t="s">
        <v>159</v>
      </c>
      <c r="B17" s="2" t="s">
        <v>160</v>
      </c>
      <c r="C17" t="s">
        <v>18</v>
      </c>
      <c r="D17">
        <v>1500</v>
      </c>
      <c r="E17">
        <v>200</v>
      </c>
      <c r="F17">
        <v>1000</v>
      </c>
    </row>
    <row r="18" spans="1:6" x14ac:dyDescent="0.2">
      <c r="A18" t="s">
        <v>161</v>
      </c>
      <c r="B18" s="2" t="s">
        <v>162</v>
      </c>
      <c r="C18" t="s">
        <v>18</v>
      </c>
      <c r="D18">
        <v>1500</v>
      </c>
      <c r="E18">
        <v>200</v>
      </c>
      <c r="F18">
        <v>1000</v>
      </c>
    </row>
    <row r="19" spans="1:6" x14ac:dyDescent="0.2">
      <c r="A19" t="s">
        <v>163</v>
      </c>
      <c r="B19" s="2" t="s">
        <v>164</v>
      </c>
      <c r="C19" t="s">
        <v>18</v>
      </c>
      <c r="D19">
        <v>1500</v>
      </c>
      <c r="E19">
        <v>200</v>
      </c>
      <c r="F19">
        <v>1000</v>
      </c>
    </row>
    <row r="20" spans="1:6" x14ac:dyDescent="0.2">
      <c r="A20" t="s">
        <v>165</v>
      </c>
      <c r="B20" s="2" t="s">
        <v>166</v>
      </c>
      <c r="C20" t="s">
        <v>18</v>
      </c>
      <c r="D20">
        <v>1500</v>
      </c>
      <c r="E20">
        <v>200</v>
      </c>
      <c r="F20">
        <v>1000</v>
      </c>
    </row>
    <row r="21" spans="1:6" x14ac:dyDescent="0.2">
      <c r="A21" t="s">
        <v>167</v>
      </c>
      <c r="B21" s="2" t="s">
        <v>168</v>
      </c>
      <c r="C21" t="s">
        <v>18</v>
      </c>
      <c r="D21">
        <v>1500</v>
      </c>
      <c r="E21">
        <v>200</v>
      </c>
      <c r="F21">
        <v>1000</v>
      </c>
    </row>
    <row r="22" spans="1:6" x14ac:dyDescent="0.2">
      <c r="A22" t="s">
        <v>169</v>
      </c>
      <c r="B22" s="2" t="s">
        <v>170</v>
      </c>
      <c r="C22" t="s">
        <v>18</v>
      </c>
      <c r="D22">
        <v>1500</v>
      </c>
      <c r="E22">
        <v>200</v>
      </c>
      <c r="F22">
        <v>1000</v>
      </c>
    </row>
    <row r="23" spans="1:6" x14ac:dyDescent="0.2">
      <c r="A23" t="s">
        <v>171</v>
      </c>
      <c r="B23" s="2" t="s">
        <v>172</v>
      </c>
      <c r="C23" t="s">
        <v>18</v>
      </c>
      <c r="D23">
        <v>1500</v>
      </c>
      <c r="E23">
        <v>200</v>
      </c>
      <c r="F23">
        <v>1000</v>
      </c>
    </row>
    <row r="24" spans="1:6" x14ac:dyDescent="0.2">
      <c r="A24" t="s">
        <v>173</v>
      </c>
      <c r="B24" s="2" t="s">
        <v>174</v>
      </c>
      <c r="C24" t="s">
        <v>18</v>
      </c>
      <c r="D24">
        <v>1500</v>
      </c>
      <c r="E24">
        <v>200</v>
      </c>
      <c r="F24">
        <v>1000</v>
      </c>
    </row>
    <row r="25" spans="1:6" x14ac:dyDescent="0.2">
      <c r="A25" t="s">
        <v>175</v>
      </c>
      <c r="B25" s="2" t="s">
        <v>176</v>
      </c>
      <c r="C25" t="s">
        <v>18</v>
      </c>
      <c r="D25">
        <v>1500</v>
      </c>
      <c r="E25">
        <v>200</v>
      </c>
      <c r="F25">
        <v>1000</v>
      </c>
    </row>
    <row r="26" spans="1:6" x14ac:dyDescent="0.2">
      <c r="A26" t="s">
        <v>177</v>
      </c>
      <c r="B26" s="2" t="s">
        <v>178</v>
      </c>
      <c r="C26" t="s">
        <v>18</v>
      </c>
      <c r="D26">
        <v>1500</v>
      </c>
      <c r="E26">
        <v>200</v>
      </c>
      <c r="F26">
        <v>1000</v>
      </c>
    </row>
    <row r="27" spans="1:6" x14ac:dyDescent="0.2">
      <c r="A27" t="s">
        <v>179</v>
      </c>
      <c r="B27" s="2" t="s">
        <v>180</v>
      </c>
      <c r="C27" t="s">
        <v>18</v>
      </c>
      <c r="D27">
        <v>1500</v>
      </c>
      <c r="E27">
        <v>200</v>
      </c>
      <c r="F27">
        <v>1000</v>
      </c>
    </row>
    <row r="28" spans="1:6" x14ac:dyDescent="0.2">
      <c r="A28" t="s">
        <v>181</v>
      </c>
      <c r="B28" s="2" t="s">
        <v>182</v>
      </c>
      <c r="C28" t="s">
        <v>18</v>
      </c>
      <c r="D28">
        <v>1500</v>
      </c>
      <c r="E28">
        <v>200</v>
      </c>
      <c r="F28">
        <v>1000</v>
      </c>
    </row>
    <row r="29" spans="1:6" x14ac:dyDescent="0.2">
      <c r="A29" t="s">
        <v>183</v>
      </c>
      <c r="B29" s="2" t="s">
        <v>184</v>
      </c>
      <c r="C29" t="s">
        <v>18</v>
      </c>
      <c r="D29">
        <v>1500</v>
      </c>
      <c r="E29">
        <v>200</v>
      </c>
      <c r="F29">
        <v>1000</v>
      </c>
    </row>
    <row r="30" spans="1:6" x14ac:dyDescent="0.2">
      <c r="A30" t="s">
        <v>185</v>
      </c>
      <c r="B30" s="2" t="s">
        <v>186</v>
      </c>
      <c r="C30" t="s">
        <v>18</v>
      </c>
      <c r="D30">
        <v>1500</v>
      </c>
      <c r="E30">
        <v>200</v>
      </c>
      <c r="F30">
        <v>1000</v>
      </c>
    </row>
    <row r="31" spans="1:6" x14ac:dyDescent="0.2">
      <c r="A31" t="s">
        <v>187</v>
      </c>
      <c r="B31" s="2" t="s">
        <v>188</v>
      </c>
      <c r="C31" t="s">
        <v>18</v>
      </c>
      <c r="D31">
        <v>1500</v>
      </c>
      <c r="E31">
        <v>200</v>
      </c>
      <c r="F31">
        <v>1000</v>
      </c>
    </row>
    <row r="32" spans="1:6" x14ac:dyDescent="0.2">
      <c r="A32" t="s">
        <v>189</v>
      </c>
      <c r="B32" s="2" t="s">
        <v>190</v>
      </c>
      <c r="C32" t="s">
        <v>18</v>
      </c>
      <c r="D32">
        <v>1500</v>
      </c>
      <c r="E32">
        <v>200</v>
      </c>
      <c r="F32">
        <v>1000</v>
      </c>
    </row>
    <row r="33" spans="1:6" x14ac:dyDescent="0.2">
      <c r="A33" t="s">
        <v>191</v>
      </c>
      <c r="B33" s="2" t="s">
        <v>192</v>
      </c>
      <c r="C33" t="s">
        <v>18</v>
      </c>
      <c r="D33">
        <v>1500</v>
      </c>
      <c r="E33">
        <v>200</v>
      </c>
      <c r="F33">
        <v>1000</v>
      </c>
    </row>
    <row r="34" spans="1:6" x14ac:dyDescent="0.2">
      <c r="A34" t="s">
        <v>193</v>
      </c>
      <c r="B34" s="2" t="s">
        <v>194</v>
      </c>
      <c r="C34" t="s">
        <v>18</v>
      </c>
      <c r="D34">
        <v>1500</v>
      </c>
      <c r="E34">
        <v>200</v>
      </c>
      <c r="F34">
        <v>1000</v>
      </c>
    </row>
    <row r="35" spans="1:6" x14ac:dyDescent="0.2">
      <c r="A35" t="s">
        <v>195</v>
      </c>
      <c r="B35" s="2" t="s">
        <v>196</v>
      </c>
      <c r="C35" t="s">
        <v>18</v>
      </c>
      <c r="D35">
        <v>1500</v>
      </c>
      <c r="E35">
        <v>200</v>
      </c>
      <c r="F35">
        <v>1000</v>
      </c>
    </row>
    <row r="36" spans="1:6" x14ac:dyDescent="0.2">
      <c r="A36" t="s">
        <v>197</v>
      </c>
      <c r="B36" t="s">
        <v>198</v>
      </c>
      <c r="C36" t="s">
        <v>18</v>
      </c>
      <c r="D36">
        <v>1500</v>
      </c>
      <c r="E36">
        <v>200</v>
      </c>
      <c r="F36">
        <v>1000</v>
      </c>
    </row>
    <row r="37" spans="1:6" x14ac:dyDescent="0.2">
      <c r="A37" t="s">
        <v>199</v>
      </c>
      <c r="B37" s="2" t="s">
        <v>13</v>
      </c>
      <c r="C37" t="s">
        <v>14</v>
      </c>
      <c r="D37">
        <v>1500</v>
      </c>
      <c r="E37">
        <v>200</v>
      </c>
      <c r="F37">
        <v>1000</v>
      </c>
    </row>
    <row r="38" spans="1:6" x14ac:dyDescent="0.2">
      <c r="A38" t="s">
        <v>200</v>
      </c>
      <c r="B38" s="2" t="s">
        <v>201</v>
      </c>
      <c r="C38" t="s">
        <v>18</v>
      </c>
      <c r="D38">
        <v>1500</v>
      </c>
      <c r="E38">
        <v>200</v>
      </c>
      <c r="F38">
        <v>1000</v>
      </c>
    </row>
    <row r="39" spans="1:6" x14ac:dyDescent="0.2">
      <c r="A39" t="s">
        <v>202</v>
      </c>
      <c r="B39" s="2" t="s">
        <v>203</v>
      </c>
      <c r="C39" t="s">
        <v>18</v>
      </c>
      <c r="D39">
        <v>1500</v>
      </c>
      <c r="E39">
        <v>200</v>
      </c>
      <c r="F39">
        <v>1000</v>
      </c>
    </row>
    <row r="40" spans="1:6" x14ac:dyDescent="0.2">
      <c r="A40" t="s">
        <v>204</v>
      </c>
      <c r="B40" s="2" t="s">
        <v>205</v>
      </c>
      <c r="C40" t="s">
        <v>18</v>
      </c>
      <c r="D40">
        <v>1500</v>
      </c>
      <c r="E40">
        <v>200</v>
      </c>
      <c r="F40">
        <v>1000</v>
      </c>
    </row>
    <row r="41" spans="1:6" x14ac:dyDescent="0.2">
      <c r="A41" t="s">
        <v>206</v>
      </c>
      <c r="B41" t="s">
        <v>207</v>
      </c>
      <c r="C41" t="s">
        <v>14</v>
      </c>
      <c r="D41">
        <v>1500</v>
      </c>
      <c r="E41">
        <v>200</v>
      </c>
      <c r="F41">
        <v>1000</v>
      </c>
    </row>
    <row r="42" spans="1:6" x14ac:dyDescent="0.2">
      <c r="A42" t="s">
        <v>208</v>
      </c>
      <c r="B42" t="s">
        <v>209</v>
      </c>
      <c r="C42" t="s">
        <v>14</v>
      </c>
      <c r="D42">
        <v>1500</v>
      </c>
      <c r="E42">
        <v>200</v>
      </c>
      <c r="F42">
        <v>1000</v>
      </c>
    </row>
    <row r="43" spans="1:6" x14ac:dyDescent="0.2">
      <c r="A43" t="s">
        <v>210</v>
      </c>
      <c r="B43" t="s">
        <v>211</v>
      </c>
      <c r="C43" t="s">
        <v>14</v>
      </c>
      <c r="D43">
        <v>1500</v>
      </c>
      <c r="E43">
        <v>200</v>
      </c>
      <c r="F43">
        <v>1000</v>
      </c>
    </row>
    <row r="44" spans="1:6" x14ac:dyDescent="0.2">
      <c r="A44" t="s">
        <v>212</v>
      </c>
      <c r="B44" t="s">
        <v>213</v>
      </c>
      <c r="C44" t="s">
        <v>14</v>
      </c>
      <c r="D44">
        <v>1500</v>
      </c>
      <c r="E44">
        <v>200</v>
      </c>
      <c r="F44">
        <v>1000</v>
      </c>
    </row>
    <row r="45" spans="1:6" x14ac:dyDescent="0.2">
      <c r="A45" t="s">
        <v>214</v>
      </c>
      <c r="B45" t="s">
        <v>215</v>
      </c>
      <c r="C45" t="s">
        <v>14</v>
      </c>
      <c r="D45">
        <v>1500</v>
      </c>
      <c r="E45">
        <v>200</v>
      </c>
      <c r="F45">
        <v>1000</v>
      </c>
    </row>
    <row r="46" spans="1:6" x14ac:dyDescent="0.2">
      <c r="A46" t="s">
        <v>216</v>
      </c>
      <c r="B46" t="s">
        <v>217</v>
      </c>
      <c r="C46" t="s">
        <v>18</v>
      </c>
      <c r="D46">
        <v>1500</v>
      </c>
      <c r="E46">
        <v>200</v>
      </c>
      <c r="F46">
        <v>1000</v>
      </c>
    </row>
    <row r="47" spans="1:6" x14ac:dyDescent="0.2">
      <c r="A47" t="s">
        <v>218</v>
      </c>
      <c r="B47" t="s">
        <v>219</v>
      </c>
      <c r="C47" t="s">
        <v>18</v>
      </c>
      <c r="D47">
        <v>1500</v>
      </c>
      <c r="E47">
        <v>200</v>
      </c>
      <c r="F47">
        <v>1000</v>
      </c>
    </row>
    <row r="48" spans="1:6" x14ac:dyDescent="0.2">
      <c r="A48" t="s">
        <v>220</v>
      </c>
      <c r="B48" t="s">
        <v>221</v>
      </c>
      <c r="C48" t="s">
        <v>18</v>
      </c>
      <c r="D48">
        <v>1500</v>
      </c>
      <c r="E48">
        <v>200</v>
      </c>
      <c r="F48">
        <v>1000</v>
      </c>
    </row>
    <row r="49" spans="1:6" x14ac:dyDescent="0.2">
      <c r="A49" t="s">
        <v>222</v>
      </c>
      <c r="B49" t="s">
        <v>223</v>
      </c>
      <c r="C49" t="s">
        <v>18</v>
      </c>
      <c r="D49">
        <v>1500</v>
      </c>
      <c r="E49">
        <v>200</v>
      </c>
      <c r="F49">
        <v>1000</v>
      </c>
    </row>
    <row r="50" spans="1:6" x14ac:dyDescent="0.2">
      <c r="A50" t="s">
        <v>224</v>
      </c>
      <c r="B50" t="s">
        <v>225</v>
      </c>
      <c r="C50" t="s">
        <v>18</v>
      </c>
      <c r="D50">
        <v>1500</v>
      </c>
      <c r="E50">
        <v>200</v>
      </c>
      <c r="F50">
        <v>1000</v>
      </c>
    </row>
    <row r="51" spans="1:6" x14ac:dyDescent="0.2">
      <c r="A51" t="s">
        <v>226</v>
      </c>
      <c r="B51" t="s">
        <v>227</v>
      </c>
      <c r="C51" t="s">
        <v>18</v>
      </c>
      <c r="D51">
        <v>1500</v>
      </c>
      <c r="E51">
        <v>200</v>
      </c>
      <c r="F51">
        <v>1000</v>
      </c>
    </row>
    <row r="52" spans="1:6" x14ac:dyDescent="0.2">
      <c r="A52" t="s">
        <v>228</v>
      </c>
      <c r="B52" t="s">
        <v>229</v>
      </c>
      <c r="C52" t="s">
        <v>14</v>
      </c>
      <c r="D52">
        <v>1500</v>
      </c>
      <c r="E52">
        <v>200</v>
      </c>
      <c r="F52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2"/>
  <sheetViews>
    <sheetView topLeftCell="A10" workbookViewId="0">
      <selection activeCell="A2" sqref="A2:C152"/>
    </sheetView>
  </sheetViews>
  <sheetFormatPr baseColWidth="10" defaultColWidth="8.83203125" defaultRowHeight="15" x14ac:dyDescent="0.2"/>
  <cols>
    <col min="1" max="3" width="24" customWidth="1"/>
  </cols>
  <sheetData>
    <row r="1" spans="1:3" x14ac:dyDescent="0.2">
      <c r="A1" s="1" t="s">
        <v>20</v>
      </c>
      <c r="B1" s="1" t="s">
        <v>8</v>
      </c>
      <c r="C1" s="1" t="s">
        <v>21</v>
      </c>
    </row>
    <row r="2" spans="1:3" x14ac:dyDescent="0.2">
      <c r="A2" t="s">
        <v>65</v>
      </c>
      <c r="B2" t="s">
        <v>13</v>
      </c>
      <c r="C2">
        <v>1.0149999999999999</v>
      </c>
    </row>
    <row r="3" spans="1:3" x14ac:dyDescent="0.2">
      <c r="A3" t="s">
        <v>65</v>
      </c>
      <c r="B3" t="s">
        <v>147</v>
      </c>
      <c r="C3">
        <v>5.0000000000000001E-3</v>
      </c>
    </row>
    <row r="4" spans="1:3" x14ac:dyDescent="0.2">
      <c r="A4" t="s">
        <v>68</v>
      </c>
      <c r="B4" t="s">
        <v>13</v>
      </c>
      <c r="C4">
        <v>1.0149999999999999</v>
      </c>
    </row>
    <row r="5" spans="1:3" x14ac:dyDescent="0.2">
      <c r="A5" t="s">
        <v>68</v>
      </c>
      <c r="B5" t="s">
        <v>135</v>
      </c>
      <c r="C5">
        <v>4.0000000000000001E-3</v>
      </c>
    </row>
    <row r="6" spans="1:3" x14ac:dyDescent="0.2">
      <c r="A6" t="s">
        <v>68</v>
      </c>
      <c r="B6" t="s">
        <v>145</v>
      </c>
      <c r="C6">
        <v>5.0000000000000001E-3</v>
      </c>
    </row>
    <row r="7" spans="1:3" x14ac:dyDescent="0.2">
      <c r="A7" t="s">
        <v>68</v>
      </c>
      <c r="B7" t="s">
        <v>229</v>
      </c>
      <c r="C7">
        <v>0.3</v>
      </c>
    </row>
    <row r="8" spans="1:3" x14ac:dyDescent="0.2">
      <c r="A8" t="s">
        <v>70</v>
      </c>
      <c r="B8" t="s">
        <v>13</v>
      </c>
      <c r="C8">
        <v>1.0149999999999999</v>
      </c>
    </row>
    <row r="9" spans="1:3" x14ac:dyDescent="0.2">
      <c r="A9" t="s">
        <v>70</v>
      </c>
      <c r="B9" t="s">
        <v>135</v>
      </c>
      <c r="C9">
        <v>4.0000000000000001E-3</v>
      </c>
    </row>
    <row r="10" spans="1:3" x14ac:dyDescent="0.2">
      <c r="A10" t="s">
        <v>70</v>
      </c>
      <c r="B10" t="s">
        <v>145</v>
      </c>
      <c r="C10">
        <v>5.0000000000000001E-3</v>
      </c>
    </row>
    <row r="11" spans="1:3" x14ac:dyDescent="0.2">
      <c r="A11" t="s">
        <v>70</v>
      </c>
      <c r="B11" t="s">
        <v>229</v>
      </c>
      <c r="C11">
        <v>0.3</v>
      </c>
    </row>
    <row r="12" spans="1:3" x14ac:dyDescent="0.2">
      <c r="A12" t="s">
        <v>72</v>
      </c>
      <c r="B12" t="s">
        <v>13</v>
      </c>
      <c r="C12">
        <v>1.0149999999999999</v>
      </c>
    </row>
    <row r="13" spans="1:3" x14ac:dyDescent="0.2">
      <c r="A13" t="s">
        <v>72</v>
      </c>
      <c r="B13" t="s">
        <v>135</v>
      </c>
      <c r="C13">
        <v>4.0000000000000001E-3</v>
      </c>
    </row>
    <row r="14" spans="1:3" x14ac:dyDescent="0.2">
      <c r="A14" t="s">
        <v>72</v>
      </c>
      <c r="B14" t="s">
        <v>145</v>
      </c>
      <c r="C14">
        <v>5.0000000000000001E-3</v>
      </c>
    </row>
    <row r="15" spans="1:3" x14ac:dyDescent="0.2">
      <c r="A15" t="s">
        <v>72</v>
      </c>
      <c r="B15" t="s">
        <v>229</v>
      </c>
      <c r="C15">
        <v>0.3</v>
      </c>
    </row>
    <row r="16" spans="1:3" x14ac:dyDescent="0.2">
      <c r="A16" t="s">
        <v>74</v>
      </c>
      <c r="B16" t="s">
        <v>13</v>
      </c>
      <c r="C16">
        <v>1.0149999999999999</v>
      </c>
    </row>
    <row r="17" spans="1:3" x14ac:dyDescent="0.2">
      <c r="A17" t="s">
        <v>74</v>
      </c>
      <c r="B17" t="s">
        <v>135</v>
      </c>
      <c r="C17">
        <v>4.0000000000000001E-3</v>
      </c>
    </row>
    <row r="18" spans="1:3" x14ac:dyDescent="0.2">
      <c r="A18" t="s">
        <v>74</v>
      </c>
      <c r="B18" t="s">
        <v>145</v>
      </c>
      <c r="C18">
        <v>5.0000000000000001E-3</v>
      </c>
    </row>
    <row r="19" spans="1:3" x14ac:dyDescent="0.2">
      <c r="A19" t="s">
        <v>74</v>
      </c>
      <c r="B19" t="s">
        <v>229</v>
      </c>
      <c r="C19">
        <v>0.3</v>
      </c>
    </row>
    <row r="20" spans="1:3" x14ac:dyDescent="0.2">
      <c r="A20" t="s">
        <v>76</v>
      </c>
      <c r="B20" t="s">
        <v>13</v>
      </c>
      <c r="C20">
        <v>1.0149999999999999</v>
      </c>
    </row>
    <row r="21" spans="1:3" x14ac:dyDescent="0.2">
      <c r="A21" t="s">
        <v>76</v>
      </c>
      <c r="B21" t="s">
        <v>135</v>
      </c>
      <c r="C21">
        <v>4.0000000000000001E-3</v>
      </c>
    </row>
    <row r="22" spans="1:3" x14ac:dyDescent="0.2">
      <c r="A22" t="s">
        <v>76</v>
      </c>
      <c r="B22" t="s">
        <v>145</v>
      </c>
      <c r="C22">
        <v>5.0000000000000001E-3</v>
      </c>
    </row>
    <row r="23" spans="1:3" x14ac:dyDescent="0.2">
      <c r="A23" t="s">
        <v>76</v>
      </c>
      <c r="B23" t="s">
        <v>229</v>
      </c>
      <c r="C23">
        <v>0.3</v>
      </c>
    </row>
    <row r="24" spans="1:3" x14ac:dyDescent="0.2">
      <c r="A24" t="s">
        <v>78</v>
      </c>
      <c r="B24" t="s">
        <v>13</v>
      </c>
      <c r="C24">
        <v>1.0149999999999999</v>
      </c>
    </row>
    <row r="25" spans="1:3" x14ac:dyDescent="0.2">
      <c r="A25" t="s">
        <v>78</v>
      </c>
      <c r="B25" t="s">
        <v>135</v>
      </c>
      <c r="C25">
        <v>4.0000000000000001E-3</v>
      </c>
    </row>
    <row r="26" spans="1:3" x14ac:dyDescent="0.2">
      <c r="A26" t="s">
        <v>78</v>
      </c>
      <c r="B26" t="s">
        <v>145</v>
      </c>
      <c r="C26">
        <v>5.0000000000000001E-3</v>
      </c>
    </row>
    <row r="27" spans="1:3" x14ac:dyDescent="0.2">
      <c r="A27" t="s">
        <v>78</v>
      </c>
      <c r="B27" t="s">
        <v>229</v>
      </c>
      <c r="C27">
        <v>0.3</v>
      </c>
    </row>
    <row r="28" spans="1:3" x14ac:dyDescent="0.2">
      <c r="A28" t="s">
        <v>80</v>
      </c>
      <c r="B28" t="s">
        <v>13</v>
      </c>
      <c r="C28">
        <v>1.0149999999999999</v>
      </c>
    </row>
    <row r="29" spans="1:3" x14ac:dyDescent="0.2">
      <c r="A29" t="s">
        <v>80</v>
      </c>
      <c r="B29" t="s">
        <v>135</v>
      </c>
      <c r="C29">
        <v>4.0000000000000001E-3</v>
      </c>
    </row>
    <row r="30" spans="1:3" x14ac:dyDescent="0.2">
      <c r="A30" t="s">
        <v>80</v>
      </c>
      <c r="B30" t="s">
        <v>145</v>
      </c>
      <c r="C30">
        <v>5.0000000000000001E-3</v>
      </c>
    </row>
    <row r="31" spans="1:3" x14ac:dyDescent="0.2">
      <c r="A31" t="s">
        <v>80</v>
      </c>
      <c r="B31" t="s">
        <v>229</v>
      </c>
      <c r="C31">
        <v>0.3</v>
      </c>
    </row>
    <row r="32" spans="1:3" x14ac:dyDescent="0.2">
      <c r="A32" t="s">
        <v>82</v>
      </c>
      <c r="B32" t="s">
        <v>13</v>
      </c>
      <c r="C32">
        <v>1.0149999999999999</v>
      </c>
    </row>
    <row r="33" spans="1:3" x14ac:dyDescent="0.2">
      <c r="A33" t="s">
        <v>82</v>
      </c>
      <c r="B33" t="s">
        <v>135</v>
      </c>
      <c r="C33">
        <v>4.0000000000000001E-3</v>
      </c>
    </row>
    <row r="34" spans="1:3" x14ac:dyDescent="0.2">
      <c r="A34" t="s">
        <v>82</v>
      </c>
      <c r="B34" t="s">
        <v>145</v>
      </c>
      <c r="C34">
        <v>5.0000000000000001E-3</v>
      </c>
    </row>
    <row r="35" spans="1:3" x14ac:dyDescent="0.2">
      <c r="A35" t="s">
        <v>82</v>
      </c>
      <c r="B35" t="s">
        <v>229</v>
      </c>
      <c r="C35">
        <v>0.3</v>
      </c>
    </row>
    <row r="36" spans="1:3" x14ac:dyDescent="0.2">
      <c r="A36" t="s">
        <v>84</v>
      </c>
      <c r="B36" t="s">
        <v>13</v>
      </c>
      <c r="C36">
        <v>1.0149999999999999</v>
      </c>
    </row>
    <row r="37" spans="1:3" x14ac:dyDescent="0.2">
      <c r="A37" t="s">
        <v>84</v>
      </c>
      <c r="B37" t="s">
        <v>135</v>
      </c>
      <c r="C37">
        <v>4.0000000000000001E-3</v>
      </c>
    </row>
    <row r="38" spans="1:3" x14ac:dyDescent="0.2">
      <c r="A38" t="s">
        <v>84</v>
      </c>
      <c r="B38" t="s">
        <v>145</v>
      </c>
      <c r="C38">
        <v>5.0000000000000001E-3</v>
      </c>
    </row>
    <row r="39" spans="1:3" x14ac:dyDescent="0.2">
      <c r="A39" t="s">
        <v>84</v>
      </c>
      <c r="B39" t="s">
        <v>229</v>
      </c>
      <c r="C39">
        <v>0.3</v>
      </c>
    </row>
    <row r="40" spans="1:3" x14ac:dyDescent="0.2">
      <c r="A40" t="s">
        <v>86</v>
      </c>
      <c r="B40" t="s">
        <v>13</v>
      </c>
      <c r="C40">
        <v>1.0149999999999999</v>
      </c>
    </row>
    <row r="41" spans="1:3" x14ac:dyDescent="0.2">
      <c r="A41" t="s">
        <v>86</v>
      </c>
      <c r="B41" t="s">
        <v>135</v>
      </c>
      <c r="C41">
        <v>4.0000000000000001E-3</v>
      </c>
    </row>
    <row r="42" spans="1:3" x14ac:dyDescent="0.2">
      <c r="A42" t="s">
        <v>86</v>
      </c>
      <c r="B42" t="s">
        <v>145</v>
      </c>
      <c r="C42">
        <v>5.0000000000000001E-3</v>
      </c>
    </row>
    <row r="43" spans="1:3" x14ac:dyDescent="0.2">
      <c r="A43" t="s">
        <v>86</v>
      </c>
      <c r="B43" t="s">
        <v>229</v>
      </c>
      <c r="C43">
        <v>0.3</v>
      </c>
    </row>
    <row r="44" spans="1:3" x14ac:dyDescent="0.2">
      <c r="A44" t="s">
        <v>88</v>
      </c>
      <c r="B44" t="s">
        <v>13</v>
      </c>
      <c r="C44">
        <v>1.0149999999999999</v>
      </c>
    </row>
    <row r="45" spans="1:3" x14ac:dyDescent="0.2">
      <c r="A45" t="s">
        <v>88</v>
      </c>
      <c r="B45" t="s">
        <v>135</v>
      </c>
      <c r="C45">
        <v>4.0000000000000001E-3</v>
      </c>
    </row>
    <row r="46" spans="1:3" x14ac:dyDescent="0.2">
      <c r="A46" t="s">
        <v>88</v>
      </c>
      <c r="B46" t="s">
        <v>145</v>
      </c>
      <c r="C46">
        <v>5.0000000000000001E-3</v>
      </c>
    </row>
    <row r="47" spans="1:3" x14ac:dyDescent="0.2">
      <c r="A47" t="s">
        <v>88</v>
      </c>
      <c r="B47" t="s">
        <v>229</v>
      </c>
      <c r="C47">
        <v>0.3</v>
      </c>
    </row>
    <row r="48" spans="1:3" x14ac:dyDescent="0.2">
      <c r="A48" t="s">
        <v>90</v>
      </c>
      <c r="B48" t="s">
        <v>13</v>
      </c>
      <c r="C48">
        <v>1.0149999999999999</v>
      </c>
    </row>
    <row r="49" spans="1:3" x14ac:dyDescent="0.2">
      <c r="A49" t="s">
        <v>90</v>
      </c>
      <c r="B49" t="s">
        <v>135</v>
      </c>
      <c r="C49">
        <v>4.0000000000000001E-3</v>
      </c>
    </row>
    <row r="50" spans="1:3" x14ac:dyDescent="0.2">
      <c r="A50" t="s">
        <v>90</v>
      </c>
      <c r="B50" t="s">
        <v>145</v>
      </c>
      <c r="C50">
        <v>5.0000000000000001E-3</v>
      </c>
    </row>
    <row r="51" spans="1:3" x14ac:dyDescent="0.2">
      <c r="A51" t="s">
        <v>90</v>
      </c>
      <c r="B51" t="s">
        <v>229</v>
      </c>
      <c r="C51">
        <v>0.3</v>
      </c>
    </row>
    <row r="52" spans="1:3" x14ac:dyDescent="0.2">
      <c r="A52" t="s">
        <v>92</v>
      </c>
      <c r="B52" t="s">
        <v>13</v>
      </c>
      <c r="C52">
        <v>1.0149999999999999</v>
      </c>
    </row>
    <row r="53" spans="1:3" x14ac:dyDescent="0.2">
      <c r="A53" t="s">
        <v>92</v>
      </c>
      <c r="B53" t="s">
        <v>135</v>
      </c>
      <c r="C53">
        <v>4.0000000000000001E-3</v>
      </c>
    </row>
    <row r="54" spans="1:3" x14ac:dyDescent="0.2">
      <c r="A54" t="s">
        <v>92</v>
      </c>
      <c r="B54" t="s">
        <v>145</v>
      </c>
      <c r="C54">
        <v>5.0000000000000001E-3</v>
      </c>
    </row>
    <row r="55" spans="1:3" x14ac:dyDescent="0.2">
      <c r="A55" t="s">
        <v>92</v>
      </c>
      <c r="B55" t="s">
        <v>229</v>
      </c>
      <c r="C55">
        <v>0.3</v>
      </c>
    </row>
    <row r="56" spans="1:3" x14ac:dyDescent="0.2">
      <c r="A56" t="s">
        <v>94</v>
      </c>
      <c r="B56" t="s">
        <v>13</v>
      </c>
      <c r="C56">
        <v>1.0149999999999999</v>
      </c>
    </row>
    <row r="57" spans="1:3" x14ac:dyDescent="0.2">
      <c r="A57" t="s">
        <v>94</v>
      </c>
      <c r="B57" t="s">
        <v>135</v>
      </c>
      <c r="C57">
        <v>4.0000000000000001E-3</v>
      </c>
    </row>
    <row r="58" spans="1:3" x14ac:dyDescent="0.2">
      <c r="A58" t="s">
        <v>94</v>
      </c>
      <c r="B58" t="s">
        <v>145</v>
      </c>
      <c r="C58">
        <v>5.0000000000000001E-3</v>
      </c>
    </row>
    <row r="59" spans="1:3" x14ac:dyDescent="0.2">
      <c r="A59" t="s">
        <v>94</v>
      </c>
      <c r="B59" t="s">
        <v>229</v>
      </c>
      <c r="C59">
        <v>0.3</v>
      </c>
    </row>
    <row r="60" spans="1:3" x14ac:dyDescent="0.2">
      <c r="A60" t="s">
        <v>230</v>
      </c>
      <c r="B60" t="s">
        <v>149</v>
      </c>
      <c r="C60">
        <v>4.0999999999999996</v>
      </c>
    </row>
    <row r="61" spans="1:3" x14ac:dyDescent="0.2">
      <c r="A61" t="s">
        <v>230</v>
      </c>
      <c r="B61" t="s">
        <v>184</v>
      </c>
      <c r="C61">
        <v>24</v>
      </c>
    </row>
    <row r="62" spans="1:3" x14ac:dyDescent="0.2">
      <c r="A62" t="s">
        <v>230</v>
      </c>
      <c r="B62" s="2" t="s">
        <v>182</v>
      </c>
      <c r="C62">
        <v>24</v>
      </c>
    </row>
    <row r="63" spans="1:3" x14ac:dyDescent="0.2">
      <c r="A63" t="s">
        <v>230</v>
      </c>
      <c r="B63" s="2" t="s">
        <v>160</v>
      </c>
      <c r="C63">
        <v>1</v>
      </c>
    </row>
    <row r="64" spans="1:3" x14ac:dyDescent="0.2">
      <c r="A64" t="s">
        <v>231</v>
      </c>
      <c r="B64" t="s">
        <v>149</v>
      </c>
      <c r="C64">
        <v>3.1070000000000002</v>
      </c>
    </row>
    <row r="65" spans="1:3" x14ac:dyDescent="0.2">
      <c r="A65" t="s">
        <v>231</v>
      </c>
      <c r="B65" t="s">
        <v>217</v>
      </c>
      <c r="C65">
        <v>6</v>
      </c>
    </row>
    <row r="66" spans="1:3" x14ac:dyDescent="0.2">
      <c r="A66" t="s">
        <v>231</v>
      </c>
      <c r="B66" t="s">
        <v>219</v>
      </c>
      <c r="C66">
        <v>6</v>
      </c>
    </row>
    <row r="67" spans="1:3" x14ac:dyDescent="0.2">
      <c r="A67" t="s">
        <v>231</v>
      </c>
      <c r="B67" s="2" t="s">
        <v>186</v>
      </c>
      <c r="C67">
        <v>6</v>
      </c>
    </row>
    <row r="68" spans="1:3" x14ac:dyDescent="0.2">
      <c r="A68" t="s">
        <v>231</v>
      </c>
      <c r="B68" s="2" t="s">
        <v>232</v>
      </c>
      <c r="C68">
        <v>1</v>
      </c>
    </row>
    <row r="69" spans="1:3" x14ac:dyDescent="0.2">
      <c r="A69" t="s">
        <v>231</v>
      </c>
      <c r="B69" s="2" t="s">
        <v>194</v>
      </c>
      <c r="C69">
        <v>6</v>
      </c>
    </row>
    <row r="70" spans="1:3" x14ac:dyDescent="0.2">
      <c r="A70" t="s">
        <v>233</v>
      </c>
      <c r="B70" t="s">
        <v>149</v>
      </c>
      <c r="C70">
        <v>9.23</v>
      </c>
    </row>
    <row r="71" spans="1:3" x14ac:dyDescent="0.2">
      <c r="A71" t="s">
        <v>233</v>
      </c>
      <c r="B71" t="s">
        <v>217</v>
      </c>
      <c r="C71">
        <v>6</v>
      </c>
    </row>
    <row r="72" spans="1:3" x14ac:dyDescent="0.2">
      <c r="A72" t="s">
        <v>233</v>
      </c>
      <c r="B72" t="s">
        <v>219</v>
      </c>
      <c r="C72">
        <v>6</v>
      </c>
    </row>
    <row r="73" spans="1:3" x14ac:dyDescent="0.2">
      <c r="A73" t="s">
        <v>233</v>
      </c>
      <c r="B73" s="2" t="s">
        <v>188</v>
      </c>
      <c r="C73">
        <v>6</v>
      </c>
    </row>
    <row r="74" spans="1:3" x14ac:dyDescent="0.2">
      <c r="A74" t="s">
        <v>233</v>
      </c>
      <c r="B74" s="2" t="s">
        <v>232</v>
      </c>
      <c r="C74">
        <v>1</v>
      </c>
    </row>
    <row r="75" spans="1:3" x14ac:dyDescent="0.2">
      <c r="A75" t="s">
        <v>233</v>
      </c>
      <c r="B75" s="2" t="s">
        <v>194</v>
      </c>
      <c r="C75">
        <v>6</v>
      </c>
    </row>
    <row r="76" spans="1:3" x14ac:dyDescent="0.2">
      <c r="A76" t="s">
        <v>234</v>
      </c>
      <c r="B76" s="4" t="s">
        <v>149</v>
      </c>
      <c r="C76" s="4">
        <v>15.38</v>
      </c>
    </row>
    <row r="77" spans="1:3" x14ac:dyDescent="0.2">
      <c r="A77" t="s">
        <v>234</v>
      </c>
      <c r="B77" s="4" t="s">
        <v>217</v>
      </c>
      <c r="C77" s="4">
        <v>6</v>
      </c>
    </row>
    <row r="78" spans="1:3" x14ac:dyDescent="0.2">
      <c r="A78" t="s">
        <v>234</v>
      </c>
      <c r="B78" s="4" t="s">
        <v>219</v>
      </c>
      <c r="C78" s="4">
        <v>6</v>
      </c>
    </row>
    <row r="79" spans="1:3" x14ac:dyDescent="0.2">
      <c r="A79" t="s">
        <v>234</v>
      </c>
      <c r="B79" s="5" t="s">
        <v>190</v>
      </c>
      <c r="C79" s="4">
        <v>6</v>
      </c>
    </row>
    <row r="80" spans="1:3" x14ac:dyDescent="0.2">
      <c r="A80" t="s">
        <v>234</v>
      </c>
      <c r="B80" s="5" t="s">
        <v>232</v>
      </c>
      <c r="C80" s="4">
        <v>1</v>
      </c>
    </row>
    <row r="81" spans="1:3" x14ac:dyDescent="0.2">
      <c r="A81" t="s">
        <v>234</v>
      </c>
      <c r="B81" s="5" t="s">
        <v>194</v>
      </c>
      <c r="C81" s="4">
        <v>6</v>
      </c>
    </row>
    <row r="82" spans="1:3" x14ac:dyDescent="0.2">
      <c r="A82" t="s">
        <v>235</v>
      </c>
      <c r="B82" t="s">
        <v>221</v>
      </c>
      <c r="C82">
        <v>1.37</v>
      </c>
    </row>
    <row r="83" spans="1:3" x14ac:dyDescent="0.2">
      <c r="A83" t="s">
        <v>235</v>
      </c>
      <c r="B83" t="s">
        <v>184</v>
      </c>
      <c r="C83">
        <v>24</v>
      </c>
    </row>
    <row r="84" spans="1:3" x14ac:dyDescent="0.2">
      <c r="A84" t="s">
        <v>235</v>
      </c>
      <c r="B84" s="2" t="s">
        <v>180</v>
      </c>
      <c r="C84">
        <v>24</v>
      </c>
    </row>
    <row r="85" spans="1:3" x14ac:dyDescent="0.2">
      <c r="A85" t="s">
        <v>235</v>
      </c>
      <c r="B85" s="2" t="s">
        <v>158</v>
      </c>
      <c r="C85">
        <v>1</v>
      </c>
    </row>
    <row r="86" spans="1:3" x14ac:dyDescent="0.2">
      <c r="A86" t="s">
        <v>106</v>
      </c>
      <c r="B86" t="s">
        <v>221</v>
      </c>
      <c r="C86">
        <f>10.2/6</f>
        <v>1.7</v>
      </c>
    </row>
    <row r="87" spans="1:3" x14ac:dyDescent="0.2">
      <c r="A87" t="s">
        <v>106</v>
      </c>
      <c r="B87" t="s">
        <v>217</v>
      </c>
      <c r="C87">
        <v>1</v>
      </c>
    </row>
    <row r="88" spans="1:3" x14ac:dyDescent="0.2">
      <c r="A88" t="s">
        <v>106</v>
      </c>
      <c r="B88" s="2" t="s">
        <v>178</v>
      </c>
      <c r="C88">
        <v>1</v>
      </c>
    </row>
    <row r="89" spans="1:3" x14ac:dyDescent="0.2">
      <c r="A89" t="s">
        <v>106</v>
      </c>
      <c r="B89" s="2" t="s">
        <v>196</v>
      </c>
      <c r="C89">
        <v>1</v>
      </c>
    </row>
    <row r="90" spans="1:3" x14ac:dyDescent="0.2">
      <c r="A90" t="s">
        <v>236</v>
      </c>
      <c r="B90" t="s">
        <v>149</v>
      </c>
      <c r="C90">
        <v>3.1070000000000002</v>
      </c>
    </row>
    <row r="91" spans="1:3" x14ac:dyDescent="0.2">
      <c r="A91" t="s">
        <v>236</v>
      </c>
      <c r="B91" t="s">
        <v>217</v>
      </c>
      <c r="C91">
        <v>6</v>
      </c>
    </row>
    <row r="92" spans="1:3" x14ac:dyDescent="0.2">
      <c r="A92" t="s">
        <v>236</v>
      </c>
      <c r="B92" s="2" t="s">
        <v>170</v>
      </c>
      <c r="C92">
        <v>6</v>
      </c>
    </row>
    <row r="93" spans="1:3" x14ac:dyDescent="0.2">
      <c r="A93" t="s">
        <v>236</v>
      </c>
      <c r="B93" s="2" t="s">
        <v>154</v>
      </c>
      <c r="C93">
        <v>1</v>
      </c>
    </row>
    <row r="94" spans="1:3" x14ac:dyDescent="0.2">
      <c r="A94" t="s">
        <v>236</v>
      </c>
      <c r="B94" s="2" t="s">
        <v>194</v>
      </c>
      <c r="C94">
        <v>6</v>
      </c>
    </row>
    <row r="95" spans="1:3" x14ac:dyDescent="0.2">
      <c r="A95" t="s">
        <v>237</v>
      </c>
      <c r="B95" t="s">
        <v>149</v>
      </c>
      <c r="C95">
        <v>5.12</v>
      </c>
    </row>
    <row r="96" spans="1:3" x14ac:dyDescent="0.2">
      <c r="A96" t="s">
        <v>237</v>
      </c>
      <c r="B96" t="s">
        <v>217</v>
      </c>
      <c r="C96">
        <v>6</v>
      </c>
    </row>
    <row r="97" spans="1:3" x14ac:dyDescent="0.2">
      <c r="A97" t="s">
        <v>237</v>
      </c>
      <c r="B97" s="2" t="s">
        <v>170</v>
      </c>
      <c r="C97">
        <v>6</v>
      </c>
    </row>
    <row r="98" spans="1:3" x14ac:dyDescent="0.2">
      <c r="A98" t="s">
        <v>237</v>
      </c>
      <c r="B98" s="2" t="s">
        <v>154</v>
      </c>
      <c r="C98">
        <v>1</v>
      </c>
    </row>
    <row r="99" spans="1:3" x14ac:dyDescent="0.2">
      <c r="A99" t="s">
        <v>237</v>
      </c>
      <c r="B99" s="2" t="s">
        <v>194</v>
      </c>
      <c r="C99">
        <v>6</v>
      </c>
    </row>
    <row r="100" spans="1:3" x14ac:dyDescent="0.2">
      <c r="A100" t="s">
        <v>238</v>
      </c>
      <c r="B100" t="s">
        <v>13</v>
      </c>
      <c r="C100">
        <v>1.0149999999999999</v>
      </c>
    </row>
    <row r="101" spans="1:3" x14ac:dyDescent="0.2">
      <c r="A101" t="s">
        <v>238</v>
      </c>
      <c r="B101" t="s">
        <v>229</v>
      </c>
      <c r="C101">
        <v>0.2</v>
      </c>
    </row>
    <row r="102" spans="1:3" x14ac:dyDescent="0.2">
      <c r="A102" t="s">
        <v>238</v>
      </c>
      <c r="B102" s="2" t="s">
        <v>143</v>
      </c>
      <c r="C102">
        <v>0.30199999999999999</v>
      </c>
    </row>
    <row r="103" spans="1:3" x14ac:dyDescent="0.2">
      <c r="A103" t="s">
        <v>238</v>
      </c>
      <c r="B103" s="2" t="s">
        <v>134</v>
      </c>
      <c r="C103">
        <v>4.0000000000000001E-3</v>
      </c>
    </row>
    <row r="104" spans="1:3" x14ac:dyDescent="0.2">
      <c r="A104" t="s">
        <v>238</v>
      </c>
      <c r="B104" s="2" t="s">
        <v>136</v>
      </c>
      <c r="C104">
        <v>6.6000000000000003E-2</v>
      </c>
    </row>
    <row r="105" spans="1:3" x14ac:dyDescent="0.2">
      <c r="A105" t="s">
        <v>238</v>
      </c>
      <c r="B105" s="3" t="s">
        <v>139</v>
      </c>
      <c r="C105">
        <v>2.8000000000000001E-2</v>
      </c>
    </row>
    <row r="106" spans="1:3" x14ac:dyDescent="0.2">
      <c r="A106" t="s">
        <v>239</v>
      </c>
      <c r="B106" t="s">
        <v>13</v>
      </c>
      <c r="C106">
        <v>1.0149999999999999</v>
      </c>
    </row>
    <row r="107" spans="1:3" x14ac:dyDescent="0.2">
      <c r="A107" t="s">
        <v>239</v>
      </c>
      <c r="B107" t="s">
        <v>229</v>
      </c>
      <c r="C107">
        <v>0.2</v>
      </c>
    </row>
    <row r="108" spans="1:3" x14ac:dyDescent="0.2">
      <c r="A108" t="s">
        <v>239</v>
      </c>
      <c r="B108" s="2" t="s">
        <v>143</v>
      </c>
      <c r="C108">
        <v>0.30199999999999999</v>
      </c>
    </row>
    <row r="109" spans="1:3" x14ac:dyDescent="0.2">
      <c r="A109" t="s">
        <v>239</v>
      </c>
      <c r="B109" s="2" t="s">
        <v>134</v>
      </c>
      <c r="C109">
        <v>4.0000000000000001E-3</v>
      </c>
    </row>
    <row r="110" spans="1:3" x14ac:dyDescent="0.2">
      <c r="A110" t="s">
        <v>239</v>
      </c>
      <c r="B110" s="2" t="s">
        <v>137</v>
      </c>
      <c r="C110">
        <v>6.6000000000000003E-2</v>
      </c>
    </row>
    <row r="111" spans="1:3" x14ac:dyDescent="0.2">
      <c r="A111" t="s">
        <v>239</v>
      </c>
      <c r="B111" s="2" t="s">
        <v>141</v>
      </c>
      <c r="C111">
        <v>2.8000000000000001E-2</v>
      </c>
    </row>
    <row r="112" spans="1:3" x14ac:dyDescent="0.2">
      <c r="A112" t="s">
        <v>112</v>
      </c>
      <c r="B112" t="s">
        <v>149</v>
      </c>
      <c r="C112">
        <v>1.95</v>
      </c>
    </row>
    <row r="113" spans="1:3" x14ac:dyDescent="0.2">
      <c r="A113" t="s">
        <v>112</v>
      </c>
      <c r="B113" t="s">
        <v>217</v>
      </c>
      <c r="C113">
        <v>6</v>
      </c>
    </row>
    <row r="114" spans="1:3" x14ac:dyDescent="0.2">
      <c r="A114" t="s">
        <v>112</v>
      </c>
      <c r="B114" s="2" t="s">
        <v>174</v>
      </c>
      <c r="C114">
        <v>6</v>
      </c>
    </row>
    <row r="115" spans="1:3" x14ac:dyDescent="0.2">
      <c r="A115" t="s">
        <v>112</v>
      </c>
      <c r="B115" s="2" t="s">
        <v>154</v>
      </c>
      <c r="C115">
        <v>1</v>
      </c>
    </row>
    <row r="116" spans="1:3" x14ac:dyDescent="0.2">
      <c r="A116" t="s">
        <v>112</v>
      </c>
      <c r="B116" s="2" t="s">
        <v>194</v>
      </c>
      <c r="C116">
        <v>6</v>
      </c>
    </row>
    <row r="117" spans="1:3" x14ac:dyDescent="0.2">
      <c r="A117" t="s">
        <v>114</v>
      </c>
      <c r="B117" t="s">
        <v>198</v>
      </c>
      <c r="C117">
        <v>2.65</v>
      </c>
    </row>
    <row r="118" spans="1:3" x14ac:dyDescent="0.2">
      <c r="A118" t="s">
        <v>114</v>
      </c>
      <c r="B118" t="s">
        <v>217</v>
      </c>
      <c r="C118">
        <v>6</v>
      </c>
    </row>
    <row r="119" spans="1:3" x14ac:dyDescent="0.2">
      <c r="A119" t="s">
        <v>114</v>
      </c>
      <c r="B119" s="2" t="s">
        <v>172</v>
      </c>
      <c r="C119">
        <v>6</v>
      </c>
    </row>
    <row r="120" spans="1:3" x14ac:dyDescent="0.2">
      <c r="A120" t="s">
        <v>114</v>
      </c>
      <c r="B120" s="2" t="s">
        <v>152</v>
      </c>
      <c r="C120">
        <v>1</v>
      </c>
    </row>
    <row r="121" spans="1:3" x14ac:dyDescent="0.2">
      <c r="A121" t="s">
        <v>116</v>
      </c>
      <c r="B121" t="s">
        <v>198</v>
      </c>
      <c r="C121">
        <v>3.55</v>
      </c>
    </row>
    <row r="122" spans="1:3" x14ac:dyDescent="0.2">
      <c r="A122" t="s">
        <v>116</v>
      </c>
      <c r="B122" t="s">
        <v>217</v>
      </c>
      <c r="C122">
        <v>6</v>
      </c>
    </row>
    <row r="123" spans="1:3" x14ac:dyDescent="0.2">
      <c r="A123" t="s">
        <v>116</v>
      </c>
      <c r="B123" s="2" t="s">
        <v>201</v>
      </c>
      <c r="C123">
        <v>6</v>
      </c>
    </row>
    <row r="124" spans="1:3" x14ac:dyDescent="0.2">
      <c r="A124" t="s">
        <v>116</v>
      </c>
      <c r="B124" s="2" t="s">
        <v>203</v>
      </c>
      <c r="C124">
        <v>1</v>
      </c>
    </row>
    <row r="125" spans="1:3" x14ac:dyDescent="0.2">
      <c r="A125" t="s">
        <v>118</v>
      </c>
      <c r="B125" t="s">
        <v>198</v>
      </c>
      <c r="C125">
        <v>1.76</v>
      </c>
    </row>
    <row r="126" spans="1:3" x14ac:dyDescent="0.2">
      <c r="A126" t="s">
        <v>118</v>
      </c>
      <c r="B126" t="s">
        <v>217</v>
      </c>
      <c r="C126">
        <v>6</v>
      </c>
    </row>
    <row r="127" spans="1:3" x14ac:dyDescent="0.2">
      <c r="A127" t="s">
        <v>118</v>
      </c>
      <c r="B127" s="2" t="s">
        <v>205</v>
      </c>
      <c r="C127">
        <v>6</v>
      </c>
    </row>
    <row r="128" spans="1:3" x14ac:dyDescent="0.2">
      <c r="A128" t="s">
        <v>120</v>
      </c>
      <c r="B128" t="s">
        <v>198</v>
      </c>
      <c r="C128">
        <v>1.76</v>
      </c>
    </row>
    <row r="129" spans="1:3" x14ac:dyDescent="0.2">
      <c r="A129" t="s">
        <v>120</v>
      </c>
      <c r="B129" t="s">
        <v>217</v>
      </c>
      <c r="C129">
        <v>6</v>
      </c>
    </row>
    <row r="130" spans="1:3" x14ac:dyDescent="0.2">
      <c r="A130" t="s">
        <v>120</v>
      </c>
      <c r="B130" s="2" t="s">
        <v>172</v>
      </c>
      <c r="C130">
        <v>6</v>
      </c>
    </row>
    <row r="131" spans="1:3" x14ac:dyDescent="0.2">
      <c r="A131" t="s">
        <v>120</v>
      </c>
      <c r="B131" s="2" t="s">
        <v>152</v>
      </c>
      <c r="C131">
        <v>1</v>
      </c>
    </row>
    <row r="132" spans="1:3" x14ac:dyDescent="0.2">
      <c r="A132" t="s">
        <v>122</v>
      </c>
      <c r="B132" t="s">
        <v>207</v>
      </c>
      <c r="C132">
        <v>7.48</v>
      </c>
    </row>
    <row r="133" spans="1:3" x14ac:dyDescent="0.2">
      <c r="A133" t="s">
        <v>122</v>
      </c>
      <c r="B133" s="2" t="s">
        <v>164</v>
      </c>
      <c r="C133">
        <v>1</v>
      </c>
    </row>
    <row r="134" spans="1:3" x14ac:dyDescent="0.2">
      <c r="A134" t="s">
        <v>124</v>
      </c>
      <c r="B134" t="s">
        <v>209</v>
      </c>
      <c r="C134">
        <v>6.5</v>
      </c>
    </row>
    <row r="135" spans="1:3" x14ac:dyDescent="0.2">
      <c r="A135" t="s">
        <v>124</v>
      </c>
      <c r="B135" s="2" t="s">
        <v>164</v>
      </c>
      <c r="C135">
        <v>1</v>
      </c>
    </row>
    <row r="136" spans="1:3" x14ac:dyDescent="0.2">
      <c r="A136" t="s">
        <v>126</v>
      </c>
      <c r="B136" t="s">
        <v>211</v>
      </c>
      <c r="C136">
        <v>5.48</v>
      </c>
    </row>
    <row r="137" spans="1:3" x14ac:dyDescent="0.2">
      <c r="A137" t="s">
        <v>126</v>
      </c>
      <c r="B137" s="2" t="s">
        <v>162</v>
      </c>
      <c r="C137">
        <v>1</v>
      </c>
    </row>
    <row r="138" spans="1:3" x14ac:dyDescent="0.2">
      <c r="A138" t="s">
        <v>128</v>
      </c>
      <c r="B138" t="s">
        <v>213</v>
      </c>
      <c r="C138">
        <v>7.4</v>
      </c>
    </row>
    <row r="139" spans="1:3" x14ac:dyDescent="0.2">
      <c r="A139" t="s">
        <v>128</v>
      </c>
      <c r="B139" s="2" t="s">
        <v>168</v>
      </c>
      <c r="C139">
        <v>1</v>
      </c>
    </row>
    <row r="140" spans="1:3" x14ac:dyDescent="0.2">
      <c r="A140" t="s">
        <v>130</v>
      </c>
      <c r="B140" t="s">
        <v>215</v>
      </c>
      <c r="C140">
        <v>4.4000000000000004</v>
      </c>
    </row>
    <row r="141" spans="1:3" x14ac:dyDescent="0.2">
      <c r="A141" t="s">
        <v>130</v>
      </c>
      <c r="B141" s="2" t="s">
        <v>166</v>
      </c>
      <c r="C141">
        <v>1</v>
      </c>
    </row>
    <row r="142" spans="1:3" x14ac:dyDescent="0.2">
      <c r="A142" t="s">
        <v>4</v>
      </c>
      <c r="B142" t="s">
        <v>13</v>
      </c>
      <c r="C142">
        <v>1.0149999999999999</v>
      </c>
    </row>
    <row r="143" spans="1:3" x14ac:dyDescent="0.2">
      <c r="A143" t="s">
        <v>4</v>
      </c>
      <c r="B143" t="s">
        <v>229</v>
      </c>
      <c r="C143">
        <v>0.2</v>
      </c>
    </row>
    <row r="144" spans="1:3" x14ac:dyDescent="0.2">
      <c r="A144" t="s">
        <v>4</v>
      </c>
      <c r="B144" s="2" t="s">
        <v>143</v>
      </c>
      <c r="C144">
        <v>0.30199999999999999</v>
      </c>
    </row>
    <row r="145" spans="1:3" x14ac:dyDescent="0.2">
      <c r="A145" t="s">
        <v>4</v>
      </c>
      <c r="B145" s="2" t="s">
        <v>134</v>
      </c>
      <c r="C145">
        <v>4.0000000000000001E-3</v>
      </c>
    </row>
    <row r="146" spans="1:3" x14ac:dyDescent="0.2">
      <c r="A146" t="s">
        <v>4</v>
      </c>
      <c r="B146" s="2" t="s">
        <v>17</v>
      </c>
      <c r="C146">
        <v>6.6000000000000003E-2</v>
      </c>
    </row>
    <row r="147" spans="1:3" x14ac:dyDescent="0.2">
      <c r="A147" t="s">
        <v>4</v>
      </c>
      <c r="B147" s="3" t="s">
        <v>139</v>
      </c>
      <c r="C147">
        <v>2.8000000000000001E-2</v>
      </c>
    </row>
    <row r="148" spans="1:3" x14ac:dyDescent="0.2">
      <c r="A148" t="s">
        <v>240</v>
      </c>
      <c r="B148" t="s">
        <v>149</v>
      </c>
      <c r="C148">
        <v>3.1070000000000002</v>
      </c>
    </row>
    <row r="149" spans="1:3" x14ac:dyDescent="0.2">
      <c r="A149" t="s">
        <v>240</v>
      </c>
      <c r="B149" t="s">
        <v>217</v>
      </c>
      <c r="C149">
        <v>6</v>
      </c>
    </row>
    <row r="150" spans="1:3" x14ac:dyDescent="0.2">
      <c r="A150" t="s">
        <v>240</v>
      </c>
      <c r="B150" s="2" t="s">
        <v>170</v>
      </c>
      <c r="C150">
        <v>6</v>
      </c>
    </row>
    <row r="151" spans="1:3" x14ac:dyDescent="0.2">
      <c r="A151" t="s">
        <v>240</v>
      </c>
      <c r="B151" s="2" t="s">
        <v>154</v>
      </c>
      <c r="C151">
        <v>1</v>
      </c>
    </row>
    <row r="152" spans="1:3" x14ac:dyDescent="0.2">
      <c r="A152" t="s">
        <v>240</v>
      </c>
      <c r="B152" s="2" t="s">
        <v>194</v>
      </c>
      <c r="C152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99"/>
  <sheetViews>
    <sheetView workbookViewId="0">
      <selection activeCell="F2" sqref="F2"/>
    </sheetView>
  </sheetViews>
  <sheetFormatPr baseColWidth="10" defaultColWidth="8.83203125" defaultRowHeight="15" x14ac:dyDescent="0.2"/>
  <cols>
    <col min="1" max="7" width="24" customWidth="1"/>
  </cols>
  <sheetData>
    <row r="1" spans="1:7" x14ac:dyDescent="0.2">
      <c r="A1" s="1" t="s">
        <v>22</v>
      </c>
      <c r="B1" s="1" t="s">
        <v>23</v>
      </c>
      <c r="C1" s="1" t="s">
        <v>24</v>
      </c>
      <c r="D1" s="1" t="s">
        <v>8</v>
      </c>
      <c r="E1" s="1" t="s">
        <v>25</v>
      </c>
      <c r="F1" s="1" t="s">
        <v>26</v>
      </c>
      <c r="G1" s="1" t="s">
        <v>27</v>
      </c>
    </row>
    <row r="2" spans="1:7" x14ac:dyDescent="0.2">
      <c r="A2" s="6">
        <v>46153</v>
      </c>
      <c r="C2" t="s">
        <v>242</v>
      </c>
      <c r="D2" t="s">
        <v>13</v>
      </c>
      <c r="E2">
        <v>5000</v>
      </c>
      <c r="G2">
        <f t="shared" ref="G2:G65" si="0">IF(E2="","",E2*F2)</f>
        <v>0</v>
      </c>
    </row>
    <row r="3" spans="1:7" x14ac:dyDescent="0.2">
      <c r="G3" t="str">
        <f t="shared" si="0"/>
        <v/>
      </c>
    </row>
    <row r="4" spans="1:7" x14ac:dyDescent="0.2">
      <c r="G4" t="str">
        <f t="shared" si="0"/>
        <v/>
      </c>
    </row>
    <row r="5" spans="1:7" x14ac:dyDescent="0.2">
      <c r="G5" t="str">
        <f t="shared" si="0"/>
        <v/>
      </c>
    </row>
    <row r="6" spans="1:7" x14ac:dyDescent="0.2">
      <c r="G6" t="str">
        <f t="shared" si="0"/>
        <v/>
      </c>
    </row>
    <row r="7" spans="1:7" x14ac:dyDescent="0.2">
      <c r="G7" t="str">
        <f t="shared" si="0"/>
        <v/>
      </c>
    </row>
    <row r="8" spans="1:7" x14ac:dyDescent="0.2">
      <c r="G8" t="str">
        <f t="shared" si="0"/>
        <v/>
      </c>
    </row>
    <row r="9" spans="1:7" x14ac:dyDescent="0.2">
      <c r="G9" t="str">
        <f t="shared" si="0"/>
        <v/>
      </c>
    </row>
    <row r="10" spans="1:7" x14ac:dyDescent="0.2">
      <c r="G10" t="str">
        <f t="shared" si="0"/>
        <v/>
      </c>
    </row>
    <row r="11" spans="1:7" x14ac:dyDescent="0.2">
      <c r="G11" t="str">
        <f t="shared" si="0"/>
        <v/>
      </c>
    </row>
    <row r="12" spans="1:7" x14ac:dyDescent="0.2">
      <c r="G12" t="str">
        <f t="shared" si="0"/>
        <v/>
      </c>
    </row>
    <row r="13" spans="1:7" x14ac:dyDescent="0.2">
      <c r="G13" t="str">
        <f t="shared" si="0"/>
        <v/>
      </c>
    </row>
    <row r="14" spans="1:7" x14ac:dyDescent="0.2">
      <c r="G14" t="str">
        <f t="shared" si="0"/>
        <v/>
      </c>
    </row>
    <row r="15" spans="1:7" x14ac:dyDescent="0.2">
      <c r="G15" t="str">
        <f t="shared" si="0"/>
        <v/>
      </c>
    </row>
    <row r="16" spans="1:7" x14ac:dyDescent="0.2">
      <c r="G16" t="str">
        <f t="shared" si="0"/>
        <v/>
      </c>
    </row>
    <row r="17" spans="7:7" x14ac:dyDescent="0.2">
      <c r="G17" t="str">
        <f t="shared" si="0"/>
        <v/>
      </c>
    </row>
    <row r="18" spans="7:7" x14ac:dyDescent="0.2">
      <c r="G18" t="str">
        <f t="shared" si="0"/>
        <v/>
      </c>
    </row>
    <row r="19" spans="7:7" x14ac:dyDescent="0.2">
      <c r="G19" t="str">
        <f t="shared" si="0"/>
        <v/>
      </c>
    </row>
    <row r="20" spans="7:7" x14ac:dyDescent="0.2">
      <c r="G20" t="str">
        <f t="shared" si="0"/>
        <v/>
      </c>
    </row>
    <row r="21" spans="7:7" x14ac:dyDescent="0.2">
      <c r="G21" t="str">
        <f t="shared" si="0"/>
        <v/>
      </c>
    </row>
    <row r="22" spans="7:7" x14ac:dyDescent="0.2">
      <c r="G22" t="str">
        <f t="shared" si="0"/>
        <v/>
      </c>
    </row>
    <row r="23" spans="7:7" x14ac:dyDescent="0.2">
      <c r="G23" t="str">
        <f t="shared" si="0"/>
        <v/>
      </c>
    </row>
    <row r="24" spans="7:7" x14ac:dyDescent="0.2">
      <c r="G24" t="str">
        <f t="shared" si="0"/>
        <v/>
      </c>
    </row>
    <row r="25" spans="7:7" x14ac:dyDescent="0.2">
      <c r="G25" t="str">
        <f t="shared" si="0"/>
        <v/>
      </c>
    </row>
    <row r="26" spans="7:7" x14ac:dyDescent="0.2">
      <c r="G26" t="str">
        <f t="shared" si="0"/>
        <v/>
      </c>
    </row>
    <row r="27" spans="7:7" x14ac:dyDescent="0.2">
      <c r="G27" t="str">
        <f t="shared" si="0"/>
        <v/>
      </c>
    </row>
    <row r="28" spans="7:7" x14ac:dyDescent="0.2">
      <c r="G28" t="str">
        <f t="shared" si="0"/>
        <v/>
      </c>
    </row>
    <row r="29" spans="7:7" x14ac:dyDescent="0.2">
      <c r="G29" t="str">
        <f t="shared" si="0"/>
        <v/>
      </c>
    </row>
    <row r="30" spans="7:7" x14ac:dyDescent="0.2">
      <c r="G30" t="str">
        <f t="shared" si="0"/>
        <v/>
      </c>
    </row>
    <row r="31" spans="7:7" x14ac:dyDescent="0.2">
      <c r="G31" t="str">
        <f t="shared" si="0"/>
        <v/>
      </c>
    </row>
    <row r="32" spans="7:7" x14ac:dyDescent="0.2">
      <c r="G32" t="str">
        <f t="shared" si="0"/>
        <v/>
      </c>
    </row>
    <row r="33" spans="7:7" x14ac:dyDescent="0.2">
      <c r="G33" t="str">
        <f t="shared" si="0"/>
        <v/>
      </c>
    </row>
    <row r="34" spans="7:7" x14ac:dyDescent="0.2">
      <c r="G34" t="str">
        <f t="shared" si="0"/>
        <v/>
      </c>
    </row>
    <row r="35" spans="7:7" x14ac:dyDescent="0.2">
      <c r="G35" t="str">
        <f t="shared" si="0"/>
        <v/>
      </c>
    </row>
    <row r="36" spans="7:7" x14ac:dyDescent="0.2">
      <c r="G36" t="str">
        <f t="shared" si="0"/>
        <v/>
      </c>
    </row>
    <row r="37" spans="7:7" x14ac:dyDescent="0.2">
      <c r="G37" t="str">
        <f t="shared" si="0"/>
        <v/>
      </c>
    </row>
    <row r="38" spans="7:7" x14ac:dyDescent="0.2">
      <c r="G38" t="str">
        <f t="shared" si="0"/>
        <v/>
      </c>
    </row>
    <row r="39" spans="7:7" x14ac:dyDescent="0.2">
      <c r="G39" t="str">
        <f t="shared" si="0"/>
        <v/>
      </c>
    </row>
    <row r="40" spans="7:7" x14ac:dyDescent="0.2">
      <c r="G40" t="str">
        <f t="shared" si="0"/>
        <v/>
      </c>
    </row>
    <row r="41" spans="7:7" x14ac:dyDescent="0.2">
      <c r="G41" t="str">
        <f t="shared" si="0"/>
        <v/>
      </c>
    </row>
    <row r="42" spans="7:7" x14ac:dyDescent="0.2">
      <c r="G42" t="str">
        <f t="shared" si="0"/>
        <v/>
      </c>
    </row>
    <row r="43" spans="7:7" x14ac:dyDescent="0.2">
      <c r="G43" t="str">
        <f t="shared" si="0"/>
        <v/>
      </c>
    </row>
    <row r="44" spans="7:7" x14ac:dyDescent="0.2">
      <c r="G44" t="str">
        <f t="shared" si="0"/>
        <v/>
      </c>
    </row>
    <row r="45" spans="7:7" x14ac:dyDescent="0.2">
      <c r="G45" t="str">
        <f t="shared" si="0"/>
        <v/>
      </c>
    </row>
    <row r="46" spans="7:7" x14ac:dyDescent="0.2">
      <c r="G46" t="str">
        <f t="shared" si="0"/>
        <v/>
      </c>
    </row>
    <row r="47" spans="7:7" x14ac:dyDescent="0.2">
      <c r="G47" t="str">
        <f t="shared" si="0"/>
        <v/>
      </c>
    </row>
    <row r="48" spans="7:7" x14ac:dyDescent="0.2">
      <c r="G48" t="str">
        <f t="shared" si="0"/>
        <v/>
      </c>
    </row>
    <row r="49" spans="7:7" x14ac:dyDescent="0.2">
      <c r="G49" t="str">
        <f t="shared" si="0"/>
        <v/>
      </c>
    </row>
    <row r="50" spans="7:7" x14ac:dyDescent="0.2">
      <c r="G50" t="str">
        <f t="shared" si="0"/>
        <v/>
      </c>
    </row>
    <row r="51" spans="7:7" x14ac:dyDescent="0.2">
      <c r="G51" t="str">
        <f t="shared" si="0"/>
        <v/>
      </c>
    </row>
    <row r="52" spans="7:7" x14ac:dyDescent="0.2">
      <c r="G52" t="str">
        <f t="shared" si="0"/>
        <v/>
      </c>
    </row>
    <row r="53" spans="7:7" x14ac:dyDescent="0.2">
      <c r="G53" t="str">
        <f t="shared" si="0"/>
        <v/>
      </c>
    </row>
    <row r="54" spans="7:7" x14ac:dyDescent="0.2">
      <c r="G54" t="str">
        <f t="shared" si="0"/>
        <v/>
      </c>
    </row>
    <row r="55" spans="7:7" x14ac:dyDescent="0.2">
      <c r="G55" t="str">
        <f t="shared" si="0"/>
        <v/>
      </c>
    </row>
    <row r="56" spans="7:7" x14ac:dyDescent="0.2">
      <c r="G56" t="str">
        <f t="shared" si="0"/>
        <v/>
      </c>
    </row>
    <row r="57" spans="7:7" x14ac:dyDescent="0.2">
      <c r="G57" t="str">
        <f t="shared" si="0"/>
        <v/>
      </c>
    </row>
    <row r="58" spans="7:7" x14ac:dyDescent="0.2">
      <c r="G58" t="str">
        <f t="shared" si="0"/>
        <v/>
      </c>
    </row>
    <row r="59" spans="7:7" x14ac:dyDescent="0.2">
      <c r="G59" t="str">
        <f t="shared" si="0"/>
        <v/>
      </c>
    </row>
    <row r="60" spans="7:7" x14ac:dyDescent="0.2">
      <c r="G60" t="str">
        <f t="shared" si="0"/>
        <v/>
      </c>
    </row>
    <row r="61" spans="7:7" x14ac:dyDescent="0.2">
      <c r="G61" t="str">
        <f t="shared" si="0"/>
        <v/>
      </c>
    </row>
    <row r="62" spans="7:7" x14ac:dyDescent="0.2">
      <c r="G62" t="str">
        <f t="shared" si="0"/>
        <v/>
      </c>
    </row>
    <row r="63" spans="7:7" x14ac:dyDescent="0.2">
      <c r="G63" t="str">
        <f t="shared" si="0"/>
        <v/>
      </c>
    </row>
    <row r="64" spans="7:7" x14ac:dyDescent="0.2">
      <c r="G64" t="str">
        <f t="shared" si="0"/>
        <v/>
      </c>
    </row>
    <row r="65" spans="7:7" x14ac:dyDescent="0.2">
      <c r="G65" t="str">
        <f t="shared" si="0"/>
        <v/>
      </c>
    </row>
    <row r="66" spans="7:7" x14ac:dyDescent="0.2">
      <c r="G66" t="str">
        <f t="shared" ref="G66:G129" si="1">IF(E66="","",E66*F66)</f>
        <v/>
      </c>
    </row>
    <row r="67" spans="7:7" x14ac:dyDescent="0.2">
      <c r="G67" t="str">
        <f t="shared" si="1"/>
        <v/>
      </c>
    </row>
    <row r="68" spans="7:7" x14ac:dyDescent="0.2">
      <c r="G68" t="str">
        <f t="shared" si="1"/>
        <v/>
      </c>
    </row>
    <row r="69" spans="7:7" x14ac:dyDescent="0.2">
      <c r="G69" t="str">
        <f t="shared" si="1"/>
        <v/>
      </c>
    </row>
    <row r="70" spans="7:7" x14ac:dyDescent="0.2">
      <c r="G70" t="str">
        <f t="shared" si="1"/>
        <v/>
      </c>
    </row>
    <row r="71" spans="7:7" x14ac:dyDescent="0.2">
      <c r="G71" t="str">
        <f t="shared" si="1"/>
        <v/>
      </c>
    </row>
    <row r="72" spans="7:7" x14ac:dyDescent="0.2">
      <c r="G72" t="str">
        <f t="shared" si="1"/>
        <v/>
      </c>
    </row>
    <row r="73" spans="7:7" x14ac:dyDescent="0.2">
      <c r="G73" t="str">
        <f t="shared" si="1"/>
        <v/>
      </c>
    </row>
    <row r="74" spans="7:7" x14ac:dyDescent="0.2">
      <c r="G74" t="str">
        <f t="shared" si="1"/>
        <v/>
      </c>
    </row>
    <row r="75" spans="7:7" x14ac:dyDescent="0.2">
      <c r="G75" t="str">
        <f t="shared" si="1"/>
        <v/>
      </c>
    </row>
    <row r="76" spans="7:7" x14ac:dyDescent="0.2">
      <c r="G76" t="str">
        <f t="shared" si="1"/>
        <v/>
      </c>
    </row>
    <row r="77" spans="7:7" x14ac:dyDescent="0.2">
      <c r="G77" t="str">
        <f t="shared" si="1"/>
        <v/>
      </c>
    </row>
    <row r="78" spans="7:7" x14ac:dyDescent="0.2">
      <c r="G78" t="str">
        <f t="shared" si="1"/>
        <v/>
      </c>
    </row>
    <row r="79" spans="7:7" x14ac:dyDescent="0.2">
      <c r="G79" t="str">
        <f t="shared" si="1"/>
        <v/>
      </c>
    </row>
    <row r="80" spans="7:7" x14ac:dyDescent="0.2">
      <c r="G80" t="str">
        <f t="shared" si="1"/>
        <v/>
      </c>
    </row>
    <row r="81" spans="7:7" x14ac:dyDescent="0.2">
      <c r="G81" t="str">
        <f t="shared" si="1"/>
        <v/>
      </c>
    </row>
    <row r="82" spans="7:7" x14ac:dyDescent="0.2">
      <c r="G82" t="str">
        <f t="shared" si="1"/>
        <v/>
      </c>
    </row>
    <row r="83" spans="7:7" x14ac:dyDescent="0.2">
      <c r="G83" t="str">
        <f t="shared" si="1"/>
        <v/>
      </c>
    </row>
    <row r="84" spans="7:7" x14ac:dyDescent="0.2">
      <c r="G84" t="str">
        <f t="shared" si="1"/>
        <v/>
      </c>
    </row>
    <row r="85" spans="7:7" x14ac:dyDescent="0.2">
      <c r="G85" t="str">
        <f t="shared" si="1"/>
        <v/>
      </c>
    </row>
    <row r="86" spans="7:7" x14ac:dyDescent="0.2">
      <c r="G86" t="str">
        <f t="shared" si="1"/>
        <v/>
      </c>
    </row>
    <row r="87" spans="7:7" x14ac:dyDescent="0.2">
      <c r="G87" t="str">
        <f t="shared" si="1"/>
        <v/>
      </c>
    </row>
    <row r="88" spans="7:7" x14ac:dyDescent="0.2">
      <c r="G88" t="str">
        <f t="shared" si="1"/>
        <v/>
      </c>
    </row>
    <row r="89" spans="7:7" x14ac:dyDescent="0.2">
      <c r="G89" t="str">
        <f t="shared" si="1"/>
        <v/>
      </c>
    </row>
    <row r="90" spans="7:7" x14ac:dyDescent="0.2">
      <c r="G90" t="str">
        <f t="shared" si="1"/>
        <v/>
      </c>
    </row>
    <row r="91" spans="7:7" x14ac:dyDescent="0.2">
      <c r="G91" t="str">
        <f t="shared" si="1"/>
        <v/>
      </c>
    </row>
    <row r="92" spans="7:7" x14ac:dyDescent="0.2">
      <c r="G92" t="str">
        <f t="shared" si="1"/>
        <v/>
      </c>
    </row>
    <row r="93" spans="7:7" x14ac:dyDescent="0.2">
      <c r="G93" t="str">
        <f t="shared" si="1"/>
        <v/>
      </c>
    </row>
    <row r="94" spans="7:7" x14ac:dyDescent="0.2">
      <c r="G94" t="str">
        <f t="shared" si="1"/>
        <v/>
      </c>
    </row>
    <row r="95" spans="7:7" x14ac:dyDescent="0.2">
      <c r="G95" t="str">
        <f t="shared" si="1"/>
        <v/>
      </c>
    </row>
    <row r="96" spans="7:7" x14ac:dyDescent="0.2">
      <c r="G96" t="str">
        <f t="shared" si="1"/>
        <v/>
      </c>
    </row>
    <row r="97" spans="7:7" x14ac:dyDescent="0.2">
      <c r="G97" t="str">
        <f t="shared" si="1"/>
        <v/>
      </c>
    </row>
    <row r="98" spans="7:7" x14ac:dyDescent="0.2">
      <c r="G98" t="str">
        <f t="shared" si="1"/>
        <v/>
      </c>
    </row>
    <row r="99" spans="7:7" x14ac:dyDescent="0.2">
      <c r="G99" t="str">
        <f t="shared" si="1"/>
        <v/>
      </c>
    </row>
    <row r="100" spans="7:7" x14ac:dyDescent="0.2">
      <c r="G100" t="str">
        <f t="shared" si="1"/>
        <v/>
      </c>
    </row>
    <row r="101" spans="7:7" x14ac:dyDescent="0.2">
      <c r="G101" t="str">
        <f t="shared" si="1"/>
        <v/>
      </c>
    </row>
    <row r="102" spans="7:7" x14ac:dyDescent="0.2">
      <c r="G102" t="str">
        <f t="shared" si="1"/>
        <v/>
      </c>
    </row>
    <row r="103" spans="7:7" x14ac:dyDescent="0.2">
      <c r="G103" t="str">
        <f t="shared" si="1"/>
        <v/>
      </c>
    </row>
    <row r="104" spans="7:7" x14ac:dyDescent="0.2">
      <c r="G104" t="str">
        <f t="shared" si="1"/>
        <v/>
      </c>
    </row>
    <row r="105" spans="7:7" x14ac:dyDescent="0.2">
      <c r="G105" t="str">
        <f t="shared" si="1"/>
        <v/>
      </c>
    </row>
    <row r="106" spans="7:7" x14ac:dyDescent="0.2">
      <c r="G106" t="str">
        <f t="shared" si="1"/>
        <v/>
      </c>
    </row>
    <row r="107" spans="7:7" x14ac:dyDescent="0.2">
      <c r="G107" t="str">
        <f t="shared" si="1"/>
        <v/>
      </c>
    </row>
    <row r="108" spans="7:7" x14ac:dyDescent="0.2">
      <c r="G108" t="str">
        <f t="shared" si="1"/>
        <v/>
      </c>
    </row>
    <row r="109" spans="7:7" x14ac:dyDescent="0.2">
      <c r="G109" t="str">
        <f t="shared" si="1"/>
        <v/>
      </c>
    </row>
    <row r="110" spans="7:7" x14ac:dyDescent="0.2">
      <c r="G110" t="str">
        <f t="shared" si="1"/>
        <v/>
      </c>
    </row>
    <row r="111" spans="7:7" x14ac:dyDescent="0.2">
      <c r="G111" t="str">
        <f t="shared" si="1"/>
        <v/>
      </c>
    </row>
    <row r="112" spans="7:7" x14ac:dyDescent="0.2">
      <c r="G112" t="str">
        <f t="shared" si="1"/>
        <v/>
      </c>
    </row>
    <row r="113" spans="7:7" x14ac:dyDescent="0.2">
      <c r="G113" t="str">
        <f t="shared" si="1"/>
        <v/>
      </c>
    </row>
    <row r="114" spans="7:7" x14ac:dyDescent="0.2">
      <c r="G114" t="str">
        <f t="shared" si="1"/>
        <v/>
      </c>
    </row>
    <row r="115" spans="7:7" x14ac:dyDescent="0.2">
      <c r="G115" t="str">
        <f t="shared" si="1"/>
        <v/>
      </c>
    </row>
    <row r="116" spans="7:7" x14ac:dyDescent="0.2">
      <c r="G116" t="str">
        <f t="shared" si="1"/>
        <v/>
      </c>
    </row>
    <row r="117" spans="7:7" x14ac:dyDescent="0.2">
      <c r="G117" t="str">
        <f t="shared" si="1"/>
        <v/>
      </c>
    </row>
    <row r="118" spans="7:7" x14ac:dyDescent="0.2">
      <c r="G118" t="str">
        <f t="shared" si="1"/>
        <v/>
      </c>
    </row>
    <row r="119" spans="7:7" x14ac:dyDescent="0.2">
      <c r="G119" t="str">
        <f t="shared" si="1"/>
        <v/>
      </c>
    </row>
    <row r="120" spans="7:7" x14ac:dyDescent="0.2">
      <c r="G120" t="str">
        <f t="shared" si="1"/>
        <v/>
      </c>
    </row>
    <row r="121" spans="7:7" x14ac:dyDescent="0.2">
      <c r="G121" t="str">
        <f t="shared" si="1"/>
        <v/>
      </c>
    </row>
    <row r="122" spans="7:7" x14ac:dyDescent="0.2">
      <c r="G122" t="str">
        <f t="shared" si="1"/>
        <v/>
      </c>
    </row>
    <row r="123" spans="7:7" x14ac:dyDescent="0.2">
      <c r="G123" t="str">
        <f t="shared" si="1"/>
        <v/>
      </c>
    </row>
    <row r="124" spans="7:7" x14ac:dyDescent="0.2">
      <c r="G124" t="str">
        <f t="shared" si="1"/>
        <v/>
      </c>
    </row>
    <row r="125" spans="7:7" x14ac:dyDescent="0.2">
      <c r="G125" t="str">
        <f t="shared" si="1"/>
        <v/>
      </c>
    </row>
    <row r="126" spans="7:7" x14ac:dyDescent="0.2">
      <c r="G126" t="str">
        <f t="shared" si="1"/>
        <v/>
      </c>
    </row>
    <row r="127" spans="7:7" x14ac:dyDescent="0.2">
      <c r="G127" t="str">
        <f t="shared" si="1"/>
        <v/>
      </c>
    </row>
    <row r="128" spans="7:7" x14ac:dyDescent="0.2">
      <c r="G128" t="str">
        <f t="shared" si="1"/>
        <v/>
      </c>
    </row>
    <row r="129" spans="7:7" x14ac:dyDescent="0.2">
      <c r="G129" t="str">
        <f t="shared" si="1"/>
        <v/>
      </c>
    </row>
    <row r="130" spans="7:7" x14ac:dyDescent="0.2">
      <c r="G130" t="str">
        <f t="shared" ref="G130:G193" si="2">IF(E130="","",E130*F130)</f>
        <v/>
      </c>
    </row>
    <row r="131" spans="7:7" x14ac:dyDescent="0.2">
      <c r="G131" t="str">
        <f t="shared" si="2"/>
        <v/>
      </c>
    </row>
    <row r="132" spans="7:7" x14ac:dyDescent="0.2">
      <c r="G132" t="str">
        <f t="shared" si="2"/>
        <v/>
      </c>
    </row>
    <row r="133" spans="7:7" x14ac:dyDescent="0.2">
      <c r="G133" t="str">
        <f t="shared" si="2"/>
        <v/>
      </c>
    </row>
    <row r="134" spans="7:7" x14ac:dyDescent="0.2">
      <c r="G134" t="str">
        <f t="shared" si="2"/>
        <v/>
      </c>
    </row>
    <row r="135" spans="7:7" x14ac:dyDescent="0.2">
      <c r="G135" t="str">
        <f t="shared" si="2"/>
        <v/>
      </c>
    </row>
    <row r="136" spans="7:7" x14ac:dyDescent="0.2">
      <c r="G136" t="str">
        <f t="shared" si="2"/>
        <v/>
      </c>
    </row>
    <row r="137" spans="7:7" x14ac:dyDescent="0.2">
      <c r="G137" t="str">
        <f t="shared" si="2"/>
        <v/>
      </c>
    </row>
    <row r="138" spans="7:7" x14ac:dyDescent="0.2">
      <c r="G138" t="str">
        <f t="shared" si="2"/>
        <v/>
      </c>
    </row>
    <row r="139" spans="7:7" x14ac:dyDescent="0.2">
      <c r="G139" t="str">
        <f t="shared" si="2"/>
        <v/>
      </c>
    </row>
    <row r="140" spans="7:7" x14ac:dyDescent="0.2">
      <c r="G140" t="str">
        <f t="shared" si="2"/>
        <v/>
      </c>
    </row>
    <row r="141" spans="7:7" x14ac:dyDescent="0.2">
      <c r="G141" t="str">
        <f t="shared" si="2"/>
        <v/>
      </c>
    </row>
    <row r="142" spans="7:7" x14ac:dyDescent="0.2">
      <c r="G142" t="str">
        <f t="shared" si="2"/>
        <v/>
      </c>
    </row>
    <row r="143" spans="7:7" x14ac:dyDescent="0.2">
      <c r="G143" t="str">
        <f t="shared" si="2"/>
        <v/>
      </c>
    </row>
    <row r="144" spans="7:7" x14ac:dyDescent="0.2">
      <c r="G144" t="str">
        <f t="shared" si="2"/>
        <v/>
      </c>
    </row>
    <row r="145" spans="7:7" x14ac:dyDescent="0.2">
      <c r="G145" t="str">
        <f t="shared" si="2"/>
        <v/>
      </c>
    </row>
    <row r="146" spans="7:7" x14ac:dyDescent="0.2">
      <c r="G146" t="str">
        <f t="shared" si="2"/>
        <v/>
      </c>
    </row>
    <row r="147" spans="7:7" x14ac:dyDescent="0.2">
      <c r="G147" t="str">
        <f t="shared" si="2"/>
        <v/>
      </c>
    </row>
    <row r="148" spans="7:7" x14ac:dyDescent="0.2">
      <c r="G148" t="str">
        <f t="shared" si="2"/>
        <v/>
      </c>
    </row>
    <row r="149" spans="7:7" x14ac:dyDescent="0.2">
      <c r="G149" t="str">
        <f t="shared" si="2"/>
        <v/>
      </c>
    </row>
    <row r="150" spans="7:7" x14ac:dyDescent="0.2">
      <c r="G150" t="str">
        <f t="shared" si="2"/>
        <v/>
      </c>
    </row>
    <row r="151" spans="7:7" x14ac:dyDescent="0.2">
      <c r="G151" t="str">
        <f t="shared" si="2"/>
        <v/>
      </c>
    </row>
    <row r="152" spans="7:7" x14ac:dyDescent="0.2">
      <c r="G152" t="str">
        <f t="shared" si="2"/>
        <v/>
      </c>
    </row>
    <row r="153" spans="7:7" x14ac:dyDescent="0.2">
      <c r="G153" t="str">
        <f t="shared" si="2"/>
        <v/>
      </c>
    </row>
    <row r="154" spans="7:7" x14ac:dyDescent="0.2">
      <c r="G154" t="str">
        <f t="shared" si="2"/>
        <v/>
      </c>
    </row>
    <row r="155" spans="7:7" x14ac:dyDescent="0.2">
      <c r="G155" t="str">
        <f t="shared" si="2"/>
        <v/>
      </c>
    </row>
    <row r="156" spans="7:7" x14ac:dyDescent="0.2">
      <c r="G156" t="str">
        <f t="shared" si="2"/>
        <v/>
      </c>
    </row>
    <row r="157" spans="7:7" x14ac:dyDescent="0.2">
      <c r="G157" t="str">
        <f t="shared" si="2"/>
        <v/>
      </c>
    </row>
    <row r="158" spans="7:7" x14ac:dyDescent="0.2">
      <c r="G158" t="str">
        <f t="shared" si="2"/>
        <v/>
      </c>
    </row>
    <row r="159" spans="7:7" x14ac:dyDescent="0.2">
      <c r="G159" t="str">
        <f t="shared" si="2"/>
        <v/>
      </c>
    </row>
    <row r="160" spans="7:7" x14ac:dyDescent="0.2">
      <c r="G160" t="str">
        <f t="shared" si="2"/>
        <v/>
      </c>
    </row>
    <row r="161" spans="7:7" x14ac:dyDescent="0.2">
      <c r="G161" t="str">
        <f t="shared" si="2"/>
        <v/>
      </c>
    </row>
    <row r="162" spans="7:7" x14ac:dyDescent="0.2">
      <c r="G162" t="str">
        <f t="shared" si="2"/>
        <v/>
      </c>
    </row>
    <row r="163" spans="7:7" x14ac:dyDescent="0.2">
      <c r="G163" t="str">
        <f t="shared" si="2"/>
        <v/>
      </c>
    </row>
    <row r="164" spans="7:7" x14ac:dyDescent="0.2">
      <c r="G164" t="str">
        <f t="shared" si="2"/>
        <v/>
      </c>
    </row>
    <row r="165" spans="7:7" x14ac:dyDescent="0.2">
      <c r="G165" t="str">
        <f t="shared" si="2"/>
        <v/>
      </c>
    </row>
    <row r="166" spans="7:7" x14ac:dyDescent="0.2">
      <c r="G166" t="str">
        <f t="shared" si="2"/>
        <v/>
      </c>
    </row>
    <row r="167" spans="7:7" x14ac:dyDescent="0.2">
      <c r="G167" t="str">
        <f t="shared" si="2"/>
        <v/>
      </c>
    </row>
    <row r="168" spans="7:7" x14ac:dyDescent="0.2">
      <c r="G168" t="str">
        <f t="shared" si="2"/>
        <v/>
      </c>
    </row>
    <row r="169" spans="7:7" x14ac:dyDescent="0.2">
      <c r="G169" t="str">
        <f t="shared" si="2"/>
        <v/>
      </c>
    </row>
    <row r="170" spans="7:7" x14ac:dyDescent="0.2">
      <c r="G170" t="str">
        <f t="shared" si="2"/>
        <v/>
      </c>
    </row>
    <row r="171" spans="7:7" x14ac:dyDescent="0.2">
      <c r="G171" t="str">
        <f t="shared" si="2"/>
        <v/>
      </c>
    </row>
    <row r="172" spans="7:7" x14ac:dyDescent="0.2">
      <c r="G172" t="str">
        <f t="shared" si="2"/>
        <v/>
      </c>
    </row>
    <row r="173" spans="7:7" x14ac:dyDescent="0.2">
      <c r="G173" t="str">
        <f t="shared" si="2"/>
        <v/>
      </c>
    </row>
    <row r="174" spans="7:7" x14ac:dyDescent="0.2">
      <c r="G174" t="str">
        <f t="shared" si="2"/>
        <v/>
      </c>
    </row>
    <row r="175" spans="7:7" x14ac:dyDescent="0.2">
      <c r="G175" t="str">
        <f t="shared" si="2"/>
        <v/>
      </c>
    </row>
    <row r="176" spans="7:7" x14ac:dyDescent="0.2">
      <c r="G176" t="str">
        <f t="shared" si="2"/>
        <v/>
      </c>
    </row>
    <row r="177" spans="7:7" x14ac:dyDescent="0.2">
      <c r="G177" t="str">
        <f t="shared" si="2"/>
        <v/>
      </c>
    </row>
    <row r="178" spans="7:7" x14ac:dyDescent="0.2">
      <c r="G178" t="str">
        <f t="shared" si="2"/>
        <v/>
      </c>
    </row>
    <row r="179" spans="7:7" x14ac:dyDescent="0.2">
      <c r="G179" t="str">
        <f t="shared" si="2"/>
        <v/>
      </c>
    </row>
    <row r="180" spans="7:7" x14ac:dyDescent="0.2">
      <c r="G180" t="str">
        <f t="shared" si="2"/>
        <v/>
      </c>
    </row>
    <row r="181" spans="7:7" x14ac:dyDescent="0.2">
      <c r="G181" t="str">
        <f t="shared" si="2"/>
        <v/>
      </c>
    </row>
    <row r="182" spans="7:7" x14ac:dyDescent="0.2">
      <c r="G182" t="str">
        <f t="shared" si="2"/>
        <v/>
      </c>
    </row>
    <row r="183" spans="7:7" x14ac:dyDescent="0.2">
      <c r="G183" t="str">
        <f t="shared" si="2"/>
        <v/>
      </c>
    </row>
    <row r="184" spans="7:7" x14ac:dyDescent="0.2">
      <c r="G184" t="str">
        <f t="shared" si="2"/>
        <v/>
      </c>
    </row>
    <row r="185" spans="7:7" x14ac:dyDescent="0.2">
      <c r="G185" t="str">
        <f t="shared" si="2"/>
        <v/>
      </c>
    </row>
    <row r="186" spans="7:7" x14ac:dyDescent="0.2">
      <c r="G186" t="str">
        <f t="shared" si="2"/>
        <v/>
      </c>
    </row>
    <row r="187" spans="7:7" x14ac:dyDescent="0.2">
      <c r="G187" t="str">
        <f t="shared" si="2"/>
        <v/>
      </c>
    </row>
    <row r="188" spans="7:7" x14ac:dyDescent="0.2">
      <c r="G188" t="str">
        <f t="shared" si="2"/>
        <v/>
      </c>
    </row>
    <row r="189" spans="7:7" x14ac:dyDescent="0.2">
      <c r="G189" t="str">
        <f t="shared" si="2"/>
        <v/>
      </c>
    </row>
    <row r="190" spans="7:7" x14ac:dyDescent="0.2">
      <c r="G190" t="str">
        <f t="shared" si="2"/>
        <v/>
      </c>
    </row>
    <row r="191" spans="7:7" x14ac:dyDescent="0.2">
      <c r="G191" t="str">
        <f t="shared" si="2"/>
        <v/>
      </c>
    </row>
    <row r="192" spans="7:7" x14ac:dyDescent="0.2">
      <c r="G192" t="str">
        <f t="shared" si="2"/>
        <v/>
      </c>
    </row>
    <row r="193" spans="7:7" x14ac:dyDescent="0.2">
      <c r="G193" t="str">
        <f t="shared" si="2"/>
        <v/>
      </c>
    </row>
    <row r="194" spans="7:7" x14ac:dyDescent="0.2">
      <c r="G194" t="str">
        <f t="shared" ref="G194:G257" si="3">IF(E194="","",E194*F194)</f>
        <v/>
      </c>
    </row>
    <row r="195" spans="7:7" x14ac:dyDescent="0.2">
      <c r="G195" t="str">
        <f t="shared" si="3"/>
        <v/>
      </c>
    </row>
    <row r="196" spans="7:7" x14ac:dyDescent="0.2">
      <c r="G196" t="str">
        <f t="shared" si="3"/>
        <v/>
      </c>
    </row>
    <row r="197" spans="7:7" x14ac:dyDescent="0.2">
      <c r="G197" t="str">
        <f t="shared" si="3"/>
        <v/>
      </c>
    </row>
    <row r="198" spans="7:7" x14ac:dyDescent="0.2">
      <c r="G198" t="str">
        <f t="shared" si="3"/>
        <v/>
      </c>
    </row>
    <row r="199" spans="7:7" x14ac:dyDescent="0.2">
      <c r="G199" t="str">
        <f t="shared" si="3"/>
        <v/>
      </c>
    </row>
    <row r="200" spans="7:7" x14ac:dyDescent="0.2">
      <c r="G200" t="str">
        <f t="shared" si="3"/>
        <v/>
      </c>
    </row>
    <row r="201" spans="7:7" x14ac:dyDescent="0.2">
      <c r="G201" t="str">
        <f t="shared" si="3"/>
        <v/>
      </c>
    </row>
    <row r="202" spans="7:7" x14ac:dyDescent="0.2">
      <c r="G202" t="str">
        <f t="shared" si="3"/>
        <v/>
      </c>
    </row>
    <row r="203" spans="7:7" x14ac:dyDescent="0.2">
      <c r="G203" t="str">
        <f t="shared" si="3"/>
        <v/>
      </c>
    </row>
    <row r="204" spans="7:7" x14ac:dyDescent="0.2">
      <c r="G204" t="str">
        <f t="shared" si="3"/>
        <v/>
      </c>
    </row>
    <row r="205" spans="7:7" x14ac:dyDescent="0.2">
      <c r="G205" t="str">
        <f t="shared" si="3"/>
        <v/>
      </c>
    </row>
    <row r="206" spans="7:7" x14ac:dyDescent="0.2">
      <c r="G206" t="str">
        <f t="shared" si="3"/>
        <v/>
      </c>
    </row>
    <row r="207" spans="7:7" x14ac:dyDescent="0.2">
      <c r="G207" t="str">
        <f t="shared" si="3"/>
        <v/>
      </c>
    </row>
    <row r="208" spans="7:7" x14ac:dyDescent="0.2">
      <c r="G208" t="str">
        <f t="shared" si="3"/>
        <v/>
      </c>
    </row>
    <row r="209" spans="7:7" x14ac:dyDescent="0.2">
      <c r="G209" t="str">
        <f t="shared" si="3"/>
        <v/>
      </c>
    </row>
    <row r="210" spans="7:7" x14ac:dyDescent="0.2">
      <c r="G210" t="str">
        <f t="shared" si="3"/>
        <v/>
      </c>
    </row>
    <row r="211" spans="7:7" x14ac:dyDescent="0.2">
      <c r="G211" t="str">
        <f t="shared" si="3"/>
        <v/>
      </c>
    </row>
    <row r="212" spans="7:7" x14ac:dyDescent="0.2">
      <c r="G212" t="str">
        <f t="shared" si="3"/>
        <v/>
      </c>
    </row>
    <row r="213" spans="7:7" x14ac:dyDescent="0.2">
      <c r="G213" t="str">
        <f t="shared" si="3"/>
        <v/>
      </c>
    </row>
    <row r="214" spans="7:7" x14ac:dyDescent="0.2">
      <c r="G214" t="str">
        <f t="shared" si="3"/>
        <v/>
      </c>
    </row>
    <row r="215" spans="7:7" x14ac:dyDescent="0.2">
      <c r="G215" t="str">
        <f t="shared" si="3"/>
        <v/>
      </c>
    </row>
    <row r="216" spans="7:7" x14ac:dyDescent="0.2">
      <c r="G216" t="str">
        <f t="shared" si="3"/>
        <v/>
      </c>
    </row>
    <row r="217" spans="7:7" x14ac:dyDescent="0.2">
      <c r="G217" t="str">
        <f t="shared" si="3"/>
        <v/>
      </c>
    </row>
    <row r="218" spans="7:7" x14ac:dyDescent="0.2">
      <c r="G218" t="str">
        <f t="shared" si="3"/>
        <v/>
      </c>
    </row>
    <row r="219" spans="7:7" x14ac:dyDescent="0.2">
      <c r="G219" t="str">
        <f t="shared" si="3"/>
        <v/>
      </c>
    </row>
    <row r="220" spans="7:7" x14ac:dyDescent="0.2">
      <c r="G220" t="str">
        <f t="shared" si="3"/>
        <v/>
      </c>
    </row>
    <row r="221" spans="7:7" x14ac:dyDescent="0.2">
      <c r="G221" t="str">
        <f t="shared" si="3"/>
        <v/>
      </c>
    </row>
    <row r="222" spans="7:7" x14ac:dyDescent="0.2">
      <c r="G222" t="str">
        <f t="shared" si="3"/>
        <v/>
      </c>
    </row>
    <row r="223" spans="7:7" x14ac:dyDescent="0.2">
      <c r="G223" t="str">
        <f t="shared" si="3"/>
        <v/>
      </c>
    </row>
    <row r="224" spans="7:7" x14ac:dyDescent="0.2">
      <c r="G224" t="str">
        <f t="shared" si="3"/>
        <v/>
      </c>
    </row>
    <row r="225" spans="7:7" x14ac:dyDescent="0.2">
      <c r="G225" t="str">
        <f t="shared" si="3"/>
        <v/>
      </c>
    </row>
    <row r="226" spans="7:7" x14ac:dyDescent="0.2">
      <c r="G226" t="str">
        <f t="shared" si="3"/>
        <v/>
      </c>
    </row>
    <row r="227" spans="7:7" x14ac:dyDescent="0.2">
      <c r="G227" t="str">
        <f t="shared" si="3"/>
        <v/>
      </c>
    </row>
    <row r="228" spans="7:7" x14ac:dyDescent="0.2">
      <c r="G228" t="str">
        <f t="shared" si="3"/>
        <v/>
      </c>
    </row>
    <row r="229" spans="7:7" x14ac:dyDescent="0.2">
      <c r="G229" t="str">
        <f t="shared" si="3"/>
        <v/>
      </c>
    </row>
    <row r="230" spans="7:7" x14ac:dyDescent="0.2">
      <c r="G230" t="str">
        <f t="shared" si="3"/>
        <v/>
      </c>
    </row>
    <row r="231" spans="7:7" x14ac:dyDescent="0.2">
      <c r="G231" t="str">
        <f t="shared" si="3"/>
        <v/>
      </c>
    </row>
    <row r="232" spans="7:7" x14ac:dyDescent="0.2">
      <c r="G232" t="str">
        <f t="shared" si="3"/>
        <v/>
      </c>
    </row>
    <row r="233" spans="7:7" x14ac:dyDescent="0.2">
      <c r="G233" t="str">
        <f t="shared" si="3"/>
        <v/>
      </c>
    </row>
    <row r="234" spans="7:7" x14ac:dyDescent="0.2">
      <c r="G234" t="str">
        <f t="shared" si="3"/>
        <v/>
      </c>
    </row>
    <row r="235" spans="7:7" x14ac:dyDescent="0.2">
      <c r="G235" t="str">
        <f t="shared" si="3"/>
        <v/>
      </c>
    </row>
    <row r="236" spans="7:7" x14ac:dyDescent="0.2">
      <c r="G236" t="str">
        <f t="shared" si="3"/>
        <v/>
      </c>
    </row>
    <row r="237" spans="7:7" x14ac:dyDescent="0.2">
      <c r="G237" t="str">
        <f t="shared" si="3"/>
        <v/>
      </c>
    </row>
    <row r="238" spans="7:7" x14ac:dyDescent="0.2">
      <c r="G238" t="str">
        <f t="shared" si="3"/>
        <v/>
      </c>
    </row>
    <row r="239" spans="7:7" x14ac:dyDescent="0.2">
      <c r="G239" t="str">
        <f t="shared" si="3"/>
        <v/>
      </c>
    </row>
    <row r="240" spans="7:7" x14ac:dyDescent="0.2">
      <c r="G240" t="str">
        <f t="shared" si="3"/>
        <v/>
      </c>
    </row>
    <row r="241" spans="7:7" x14ac:dyDescent="0.2">
      <c r="G241" t="str">
        <f t="shared" si="3"/>
        <v/>
      </c>
    </row>
    <row r="242" spans="7:7" x14ac:dyDescent="0.2">
      <c r="G242" t="str">
        <f t="shared" si="3"/>
        <v/>
      </c>
    </row>
    <row r="243" spans="7:7" x14ac:dyDescent="0.2">
      <c r="G243" t="str">
        <f t="shared" si="3"/>
        <v/>
      </c>
    </row>
    <row r="244" spans="7:7" x14ac:dyDescent="0.2">
      <c r="G244" t="str">
        <f t="shared" si="3"/>
        <v/>
      </c>
    </row>
    <row r="245" spans="7:7" x14ac:dyDescent="0.2">
      <c r="G245" t="str">
        <f t="shared" si="3"/>
        <v/>
      </c>
    </row>
    <row r="246" spans="7:7" x14ac:dyDescent="0.2">
      <c r="G246" t="str">
        <f t="shared" si="3"/>
        <v/>
      </c>
    </row>
    <row r="247" spans="7:7" x14ac:dyDescent="0.2">
      <c r="G247" t="str">
        <f t="shared" si="3"/>
        <v/>
      </c>
    </row>
    <row r="248" spans="7:7" x14ac:dyDescent="0.2">
      <c r="G248" t="str">
        <f t="shared" si="3"/>
        <v/>
      </c>
    </row>
    <row r="249" spans="7:7" x14ac:dyDescent="0.2">
      <c r="G249" t="str">
        <f t="shared" si="3"/>
        <v/>
      </c>
    </row>
    <row r="250" spans="7:7" x14ac:dyDescent="0.2">
      <c r="G250" t="str">
        <f t="shared" si="3"/>
        <v/>
      </c>
    </row>
    <row r="251" spans="7:7" x14ac:dyDescent="0.2">
      <c r="G251" t="str">
        <f t="shared" si="3"/>
        <v/>
      </c>
    </row>
    <row r="252" spans="7:7" x14ac:dyDescent="0.2">
      <c r="G252" t="str">
        <f t="shared" si="3"/>
        <v/>
      </c>
    </row>
    <row r="253" spans="7:7" x14ac:dyDescent="0.2">
      <c r="G253" t="str">
        <f t="shared" si="3"/>
        <v/>
      </c>
    </row>
    <row r="254" spans="7:7" x14ac:dyDescent="0.2">
      <c r="G254" t="str">
        <f t="shared" si="3"/>
        <v/>
      </c>
    </row>
    <row r="255" spans="7:7" x14ac:dyDescent="0.2">
      <c r="G255" t="str">
        <f t="shared" si="3"/>
        <v/>
      </c>
    </row>
    <row r="256" spans="7:7" x14ac:dyDescent="0.2">
      <c r="G256" t="str">
        <f t="shared" si="3"/>
        <v/>
      </c>
    </row>
    <row r="257" spans="7:7" x14ac:dyDescent="0.2">
      <c r="G257" t="str">
        <f t="shared" si="3"/>
        <v/>
      </c>
    </row>
    <row r="258" spans="7:7" x14ac:dyDescent="0.2">
      <c r="G258" t="str">
        <f t="shared" ref="G258:G321" si="4">IF(E258="","",E258*F258)</f>
        <v/>
      </c>
    </row>
    <row r="259" spans="7:7" x14ac:dyDescent="0.2">
      <c r="G259" t="str">
        <f t="shared" si="4"/>
        <v/>
      </c>
    </row>
    <row r="260" spans="7:7" x14ac:dyDescent="0.2">
      <c r="G260" t="str">
        <f t="shared" si="4"/>
        <v/>
      </c>
    </row>
    <row r="261" spans="7:7" x14ac:dyDescent="0.2">
      <c r="G261" t="str">
        <f t="shared" si="4"/>
        <v/>
      </c>
    </row>
    <row r="262" spans="7:7" x14ac:dyDescent="0.2">
      <c r="G262" t="str">
        <f t="shared" si="4"/>
        <v/>
      </c>
    </row>
    <row r="263" spans="7:7" x14ac:dyDescent="0.2">
      <c r="G263" t="str">
        <f t="shared" si="4"/>
        <v/>
      </c>
    </row>
    <row r="264" spans="7:7" x14ac:dyDescent="0.2">
      <c r="G264" t="str">
        <f t="shared" si="4"/>
        <v/>
      </c>
    </row>
    <row r="265" spans="7:7" x14ac:dyDescent="0.2">
      <c r="G265" t="str">
        <f t="shared" si="4"/>
        <v/>
      </c>
    </row>
    <row r="266" spans="7:7" x14ac:dyDescent="0.2">
      <c r="G266" t="str">
        <f t="shared" si="4"/>
        <v/>
      </c>
    </row>
    <row r="267" spans="7:7" x14ac:dyDescent="0.2">
      <c r="G267" t="str">
        <f t="shared" si="4"/>
        <v/>
      </c>
    </row>
    <row r="268" spans="7:7" x14ac:dyDescent="0.2">
      <c r="G268" t="str">
        <f t="shared" si="4"/>
        <v/>
      </c>
    </row>
    <row r="269" spans="7:7" x14ac:dyDescent="0.2">
      <c r="G269" t="str">
        <f t="shared" si="4"/>
        <v/>
      </c>
    </row>
    <row r="270" spans="7:7" x14ac:dyDescent="0.2">
      <c r="G270" t="str">
        <f t="shared" si="4"/>
        <v/>
      </c>
    </row>
    <row r="271" spans="7:7" x14ac:dyDescent="0.2">
      <c r="G271" t="str">
        <f t="shared" si="4"/>
        <v/>
      </c>
    </row>
    <row r="272" spans="7:7" x14ac:dyDescent="0.2">
      <c r="G272" t="str">
        <f t="shared" si="4"/>
        <v/>
      </c>
    </row>
    <row r="273" spans="7:7" x14ac:dyDescent="0.2">
      <c r="G273" t="str">
        <f t="shared" si="4"/>
        <v/>
      </c>
    </row>
    <row r="274" spans="7:7" x14ac:dyDescent="0.2">
      <c r="G274" t="str">
        <f t="shared" si="4"/>
        <v/>
      </c>
    </row>
    <row r="275" spans="7:7" x14ac:dyDescent="0.2">
      <c r="G275" t="str">
        <f t="shared" si="4"/>
        <v/>
      </c>
    </row>
    <row r="276" spans="7:7" x14ac:dyDescent="0.2">
      <c r="G276" t="str">
        <f t="shared" si="4"/>
        <v/>
      </c>
    </row>
    <row r="277" spans="7:7" x14ac:dyDescent="0.2">
      <c r="G277" t="str">
        <f t="shared" si="4"/>
        <v/>
      </c>
    </row>
    <row r="278" spans="7:7" x14ac:dyDescent="0.2">
      <c r="G278" t="str">
        <f t="shared" si="4"/>
        <v/>
      </c>
    </row>
    <row r="279" spans="7:7" x14ac:dyDescent="0.2">
      <c r="G279" t="str">
        <f t="shared" si="4"/>
        <v/>
      </c>
    </row>
    <row r="280" spans="7:7" x14ac:dyDescent="0.2">
      <c r="G280" t="str">
        <f t="shared" si="4"/>
        <v/>
      </c>
    </row>
    <row r="281" spans="7:7" x14ac:dyDescent="0.2">
      <c r="G281" t="str">
        <f t="shared" si="4"/>
        <v/>
      </c>
    </row>
    <row r="282" spans="7:7" x14ac:dyDescent="0.2">
      <c r="G282" t="str">
        <f t="shared" si="4"/>
        <v/>
      </c>
    </row>
    <row r="283" spans="7:7" x14ac:dyDescent="0.2">
      <c r="G283" t="str">
        <f t="shared" si="4"/>
        <v/>
      </c>
    </row>
    <row r="284" spans="7:7" x14ac:dyDescent="0.2">
      <c r="G284" t="str">
        <f t="shared" si="4"/>
        <v/>
      </c>
    </row>
    <row r="285" spans="7:7" x14ac:dyDescent="0.2">
      <c r="G285" t="str">
        <f t="shared" si="4"/>
        <v/>
      </c>
    </row>
    <row r="286" spans="7:7" x14ac:dyDescent="0.2">
      <c r="G286" t="str">
        <f t="shared" si="4"/>
        <v/>
      </c>
    </row>
    <row r="287" spans="7:7" x14ac:dyDescent="0.2">
      <c r="G287" t="str">
        <f t="shared" si="4"/>
        <v/>
      </c>
    </row>
    <row r="288" spans="7:7" x14ac:dyDescent="0.2">
      <c r="G288" t="str">
        <f t="shared" si="4"/>
        <v/>
      </c>
    </row>
    <row r="289" spans="7:7" x14ac:dyDescent="0.2">
      <c r="G289" t="str">
        <f t="shared" si="4"/>
        <v/>
      </c>
    </row>
    <row r="290" spans="7:7" x14ac:dyDescent="0.2">
      <c r="G290" t="str">
        <f t="shared" si="4"/>
        <v/>
      </c>
    </row>
    <row r="291" spans="7:7" x14ac:dyDescent="0.2">
      <c r="G291" t="str">
        <f t="shared" si="4"/>
        <v/>
      </c>
    </row>
    <row r="292" spans="7:7" x14ac:dyDescent="0.2">
      <c r="G292" t="str">
        <f t="shared" si="4"/>
        <v/>
      </c>
    </row>
    <row r="293" spans="7:7" x14ac:dyDescent="0.2">
      <c r="G293" t="str">
        <f t="shared" si="4"/>
        <v/>
      </c>
    </row>
    <row r="294" spans="7:7" x14ac:dyDescent="0.2">
      <c r="G294" t="str">
        <f t="shared" si="4"/>
        <v/>
      </c>
    </row>
    <row r="295" spans="7:7" x14ac:dyDescent="0.2">
      <c r="G295" t="str">
        <f t="shared" si="4"/>
        <v/>
      </c>
    </row>
    <row r="296" spans="7:7" x14ac:dyDescent="0.2">
      <c r="G296" t="str">
        <f t="shared" si="4"/>
        <v/>
      </c>
    </row>
    <row r="297" spans="7:7" x14ac:dyDescent="0.2">
      <c r="G297" t="str">
        <f t="shared" si="4"/>
        <v/>
      </c>
    </row>
    <row r="298" spans="7:7" x14ac:dyDescent="0.2">
      <c r="G298" t="str">
        <f t="shared" si="4"/>
        <v/>
      </c>
    </row>
    <row r="299" spans="7:7" x14ac:dyDescent="0.2">
      <c r="G299" t="str">
        <f t="shared" si="4"/>
        <v/>
      </c>
    </row>
    <row r="300" spans="7:7" x14ac:dyDescent="0.2">
      <c r="G300" t="str">
        <f t="shared" si="4"/>
        <v/>
      </c>
    </row>
    <row r="301" spans="7:7" x14ac:dyDescent="0.2">
      <c r="G301" t="str">
        <f t="shared" si="4"/>
        <v/>
      </c>
    </row>
    <row r="302" spans="7:7" x14ac:dyDescent="0.2">
      <c r="G302" t="str">
        <f t="shared" si="4"/>
        <v/>
      </c>
    </row>
    <row r="303" spans="7:7" x14ac:dyDescent="0.2">
      <c r="G303" t="str">
        <f t="shared" si="4"/>
        <v/>
      </c>
    </row>
    <row r="304" spans="7:7" x14ac:dyDescent="0.2">
      <c r="G304" t="str">
        <f t="shared" si="4"/>
        <v/>
      </c>
    </row>
    <row r="305" spans="7:7" x14ac:dyDescent="0.2">
      <c r="G305" t="str">
        <f t="shared" si="4"/>
        <v/>
      </c>
    </row>
    <row r="306" spans="7:7" x14ac:dyDescent="0.2">
      <c r="G306" t="str">
        <f t="shared" si="4"/>
        <v/>
      </c>
    </row>
    <row r="307" spans="7:7" x14ac:dyDescent="0.2">
      <c r="G307" t="str">
        <f t="shared" si="4"/>
        <v/>
      </c>
    </row>
    <row r="308" spans="7:7" x14ac:dyDescent="0.2">
      <c r="G308" t="str">
        <f t="shared" si="4"/>
        <v/>
      </c>
    </row>
    <row r="309" spans="7:7" x14ac:dyDescent="0.2">
      <c r="G309" t="str">
        <f t="shared" si="4"/>
        <v/>
      </c>
    </row>
    <row r="310" spans="7:7" x14ac:dyDescent="0.2">
      <c r="G310" t="str">
        <f t="shared" si="4"/>
        <v/>
      </c>
    </row>
    <row r="311" spans="7:7" x14ac:dyDescent="0.2">
      <c r="G311" t="str">
        <f t="shared" si="4"/>
        <v/>
      </c>
    </row>
    <row r="312" spans="7:7" x14ac:dyDescent="0.2">
      <c r="G312" t="str">
        <f t="shared" si="4"/>
        <v/>
      </c>
    </row>
    <row r="313" spans="7:7" x14ac:dyDescent="0.2">
      <c r="G313" t="str">
        <f t="shared" si="4"/>
        <v/>
      </c>
    </row>
    <row r="314" spans="7:7" x14ac:dyDescent="0.2">
      <c r="G314" t="str">
        <f t="shared" si="4"/>
        <v/>
      </c>
    </row>
    <row r="315" spans="7:7" x14ac:dyDescent="0.2">
      <c r="G315" t="str">
        <f t="shared" si="4"/>
        <v/>
      </c>
    </row>
    <row r="316" spans="7:7" x14ac:dyDescent="0.2">
      <c r="G316" t="str">
        <f t="shared" si="4"/>
        <v/>
      </c>
    </row>
    <row r="317" spans="7:7" x14ac:dyDescent="0.2">
      <c r="G317" t="str">
        <f t="shared" si="4"/>
        <v/>
      </c>
    </row>
    <row r="318" spans="7:7" x14ac:dyDescent="0.2">
      <c r="G318" t="str">
        <f t="shared" si="4"/>
        <v/>
      </c>
    </row>
    <row r="319" spans="7:7" x14ac:dyDescent="0.2">
      <c r="G319" t="str">
        <f t="shared" si="4"/>
        <v/>
      </c>
    </row>
    <row r="320" spans="7:7" x14ac:dyDescent="0.2">
      <c r="G320" t="str">
        <f t="shared" si="4"/>
        <v/>
      </c>
    </row>
    <row r="321" spans="7:7" x14ac:dyDescent="0.2">
      <c r="G321" t="str">
        <f t="shared" si="4"/>
        <v/>
      </c>
    </row>
    <row r="322" spans="7:7" x14ac:dyDescent="0.2">
      <c r="G322" t="str">
        <f t="shared" ref="G322:G385" si="5">IF(E322="","",E322*F322)</f>
        <v/>
      </c>
    </row>
    <row r="323" spans="7:7" x14ac:dyDescent="0.2">
      <c r="G323" t="str">
        <f t="shared" si="5"/>
        <v/>
      </c>
    </row>
    <row r="324" spans="7:7" x14ac:dyDescent="0.2">
      <c r="G324" t="str">
        <f t="shared" si="5"/>
        <v/>
      </c>
    </row>
    <row r="325" spans="7:7" x14ac:dyDescent="0.2">
      <c r="G325" t="str">
        <f t="shared" si="5"/>
        <v/>
      </c>
    </row>
    <row r="326" spans="7:7" x14ac:dyDescent="0.2">
      <c r="G326" t="str">
        <f t="shared" si="5"/>
        <v/>
      </c>
    </row>
    <row r="327" spans="7:7" x14ac:dyDescent="0.2">
      <c r="G327" t="str">
        <f t="shared" si="5"/>
        <v/>
      </c>
    </row>
    <row r="328" spans="7:7" x14ac:dyDescent="0.2">
      <c r="G328" t="str">
        <f t="shared" si="5"/>
        <v/>
      </c>
    </row>
    <row r="329" spans="7:7" x14ac:dyDescent="0.2">
      <c r="G329" t="str">
        <f t="shared" si="5"/>
        <v/>
      </c>
    </row>
    <row r="330" spans="7:7" x14ac:dyDescent="0.2">
      <c r="G330" t="str">
        <f t="shared" si="5"/>
        <v/>
      </c>
    </row>
    <row r="331" spans="7:7" x14ac:dyDescent="0.2">
      <c r="G331" t="str">
        <f t="shared" si="5"/>
        <v/>
      </c>
    </row>
    <row r="332" spans="7:7" x14ac:dyDescent="0.2">
      <c r="G332" t="str">
        <f t="shared" si="5"/>
        <v/>
      </c>
    </row>
    <row r="333" spans="7:7" x14ac:dyDescent="0.2">
      <c r="G333" t="str">
        <f t="shared" si="5"/>
        <v/>
      </c>
    </row>
    <row r="334" spans="7:7" x14ac:dyDescent="0.2">
      <c r="G334" t="str">
        <f t="shared" si="5"/>
        <v/>
      </c>
    </row>
    <row r="335" spans="7:7" x14ac:dyDescent="0.2">
      <c r="G335" t="str">
        <f t="shared" si="5"/>
        <v/>
      </c>
    </row>
    <row r="336" spans="7:7" x14ac:dyDescent="0.2">
      <c r="G336" t="str">
        <f t="shared" si="5"/>
        <v/>
      </c>
    </row>
    <row r="337" spans="7:7" x14ac:dyDescent="0.2">
      <c r="G337" t="str">
        <f t="shared" si="5"/>
        <v/>
      </c>
    </row>
    <row r="338" spans="7:7" x14ac:dyDescent="0.2">
      <c r="G338" t="str">
        <f t="shared" si="5"/>
        <v/>
      </c>
    </row>
    <row r="339" spans="7:7" x14ac:dyDescent="0.2">
      <c r="G339" t="str">
        <f t="shared" si="5"/>
        <v/>
      </c>
    </row>
    <row r="340" spans="7:7" x14ac:dyDescent="0.2">
      <c r="G340" t="str">
        <f t="shared" si="5"/>
        <v/>
      </c>
    </row>
    <row r="341" spans="7:7" x14ac:dyDescent="0.2">
      <c r="G341" t="str">
        <f t="shared" si="5"/>
        <v/>
      </c>
    </row>
    <row r="342" spans="7:7" x14ac:dyDescent="0.2">
      <c r="G342" t="str">
        <f t="shared" si="5"/>
        <v/>
      </c>
    </row>
    <row r="343" spans="7:7" x14ac:dyDescent="0.2">
      <c r="G343" t="str">
        <f t="shared" si="5"/>
        <v/>
      </c>
    </row>
    <row r="344" spans="7:7" x14ac:dyDescent="0.2">
      <c r="G344" t="str">
        <f t="shared" si="5"/>
        <v/>
      </c>
    </row>
    <row r="345" spans="7:7" x14ac:dyDescent="0.2">
      <c r="G345" t="str">
        <f t="shared" si="5"/>
        <v/>
      </c>
    </row>
    <row r="346" spans="7:7" x14ac:dyDescent="0.2">
      <c r="G346" t="str">
        <f t="shared" si="5"/>
        <v/>
      </c>
    </row>
    <row r="347" spans="7:7" x14ac:dyDescent="0.2">
      <c r="G347" t="str">
        <f t="shared" si="5"/>
        <v/>
      </c>
    </row>
    <row r="348" spans="7:7" x14ac:dyDescent="0.2">
      <c r="G348" t="str">
        <f t="shared" si="5"/>
        <v/>
      </c>
    </row>
    <row r="349" spans="7:7" x14ac:dyDescent="0.2">
      <c r="G349" t="str">
        <f t="shared" si="5"/>
        <v/>
      </c>
    </row>
    <row r="350" spans="7:7" x14ac:dyDescent="0.2">
      <c r="G350" t="str">
        <f t="shared" si="5"/>
        <v/>
      </c>
    </row>
    <row r="351" spans="7:7" x14ac:dyDescent="0.2">
      <c r="G351" t="str">
        <f t="shared" si="5"/>
        <v/>
      </c>
    </row>
    <row r="352" spans="7:7" x14ac:dyDescent="0.2">
      <c r="G352" t="str">
        <f t="shared" si="5"/>
        <v/>
      </c>
    </row>
    <row r="353" spans="7:7" x14ac:dyDescent="0.2">
      <c r="G353" t="str">
        <f t="shared" si="5"/>
        <v/>
      </c>
    </row>
    <row r="354" spans="7:7" x14ac:dyDescent="0.2">
      <c r="G354" t="str">
        <f t="shared" si="5"/>
        <v/>
      </c>
    </row>
    <row r="355" spans="7:7" x14ac:dyDescent="0.2">
      <c r="G355" t="str">
        <f t="shared" si="5"/>
        <v/>
      </c>
    </row>
    <row r="356" spans="7:7" x14ac:dyDescent="0.2">
      <c r="G356" t="str">
        <f t="shared" si="5"/>
        <v/>
      </c>
    </row>
    <row r="357" spans="7:7" x14ac:dyDescent="0.2">
      <c r="G357" t="str">
        <f t="shared" si="5"/>
        <v/>
      </c>
    </row>
    <row r="358" spans="7:7" x14ac:dyDescent="0.2">
      <c r="G358" t="str">
        <f t="shared" si="5"/>
        <v/>
      </c>
    </row>
    <row r="359" spans="7:7" x14ac:dyDescent="0.2">
      <c r="G359" t="str">
        <f t="shared" si="5"/>
        <v/>
      </c>
    </row>
    <row r="360" spans="7:7" x14ac:dyDescent="0.2">
      <c r="G360" t="str">
        <f t="shared" si="5"/>
        <v/>
      </c>
    </row>
    <row r="361" spans="7:7" x14ac:dyDescent="0.2">
      <c r="G361" t="str">
        <f t="shared" si="5"/>
        <v/>
      </c>
    </row>
    <row r="362" spans="7:7" x14ac:dyDescent="0.2">
      <c r="G362" t="str">
        <f t="shared" si="5"/>
        <v/>
      </c>
    </row>
    <row r="363" spans="7:7" x14ac:dyDescent="0.2">
      <c r="G363" t="str">
        <f t="shared" si="5"/>
        <v/>
      </c>
    </row>
    <row r="364" spans="7:7" x14ac:dyDescent="0.2">
      <c r="G364" t="str">
        <f t="shared" si="5"/>
        <v/>
      </c>
    </row>
    <row r="365" spans="7:7" x14ac:dyDescent="0.2">
      <c r="G365" t="str">
        <f t="shared" si="5"/>
        <v/>
      </c>
    </row>
    <row r="366" spans="7:7" x14ac:dyDescent="0.2">
      <c r="G366" t="str">
        <f t="shared" si="5"/>
        <v/>
      </c>
    </row>
    <row r="367" spans="7:7" x14ac:dyDescent="0.2">
      <c r="G367" t="str">
        <f t="shared" si="5"/>
        <v/>
      </c>
    </row>
    <row r="368" spans="7:7" x14ac:dyDescent="0.2">
      <c r="G368" t="str">
        <f t="shared" si="5"/>
        <v/>
      </c>
    </row>
    <row r="369" spans="7:7" x14ac:dyDescent="0.2">
      <c r="G369" t="str">
        <f t="shared" si="5"/>
        <v/>
      </c>
    </row>
    <row r="370" spans="7:7" x14ac:dyDescent="0.2">
      <c r="G370" t="str">
        <f t="shared" si="5"/>
        <v/>
      </c>
    </row>
    <row r="371" spans="7:7" x14ac:dyDescent="0.2">
      <c r="G371" t="str">
        <f t="shared" si="5"/>
        <v/>
      </c>
    </row>
    <row r="372" spans="7:7" x14ac:dyDescent="0.2">
      <c r="G372" t="str">
        <f t="shared" si="5"/>
        <v/>
      </c>
    </row>
    <row r="373" spans="7:7" x14ac:dyDescent="0.2">
      <c r="G373" t="str">
        <f t="shared" si="5"/>
        <v/>
      </c>
    </row>
    <row r="374" spans="7:7" x14ac:dyDescent="0.2">
      <c r="G374" t="str">
        <f t="shared" si="5"/>
        <v/>
      </c>
    </row>
    <row r="375" spans="7:7" x14ac:dyDescent="0.2">
      <c r="G375" t="str">
        <f t="shared" si="5"/>
        <v/>
      </c>
    </row>
    <row r="376" spans="7:7" x14ac:dyDescent="0.2">
      <c r="G376" t="str">
        <f t="shared" si="5"/>
        <v/>
      </c>
    </row>
    <row r="377" spans="7:7" x14ac:dyDescent="0.2">
      <c r="G377" t="str">
        <f t="shared" si="5"/>
        <v/>
      </c>
    </row>
    <row r="378" spans="7:7" x14ac:dyDescent="0.2">
      <c r="G378" t="str">
        <f t="shared" si="5"/>
        <v/>
      </c>
    </row>
    <row r="379" spans="7:7" x14ac:dyDescent="0.2">
      <c r="G379" t="str">
        <f t="shared" si="5"/>
        <v/>
      </c>
    </row>
    <row r="380" spans="7:7" x14ac:dyDescent="0.2">
      <c r="G380" t="str">
        <f t="shared" si="5"/>
        <v/>
      </c>
    </row>
    <row r="381" spans="7:7" x14ac:dyDescent="0.2">
      <c r="G381" t="str">
        <f t="shared" si="5"/>
        <v/>
      </c>
    </row>
    <row r="382" spans="7:7" x14ac:dyDescent="0.2">
      <c r="G382" t="str">
        <f t="shared" si="5"/>
        <v/>
      </c>
    </row>
    <row r="383" spans="7:7" x14ac:dyDescent="0.2">
      <c r="G383" t="str">
        <f t="shared" si="5"/>
        <v/>
      </c>
    </row>
    <row r="384" spans="7:7" x14ac:dyDescent="0.2">
      <c r="G384" t="str">
        <f t="shared" si="5"/>
        <v/>
      </c>
    </row>
    <row r="385" spans="7:7" x14ac:dyDescent="0.2">
      <c r="G385" t="str">
        <f t="shared" si="5"/>
        <v/>
      </c>
    </row>
    <row r="386" spans="7:7" x14ac:dyDescent="0.2">
      <c r="G386" t="str">
        <f t="shared" ref="G386:G449" si="6">IF(E386="","",E386*F386)</f>
        <v/>
      </c>
    </row>
    <row r="387" spans="7:7" x14ac:dyDescent="0.2">
      <c r="G387" t="str">
        <f t="shared" si="6"/>
        <v/>
      </c>
    </row>
    <row r="388" spans="7:7" x14ac:dyDescent="0.2">
      <c r="G388" t="str">
        <f t="shared" si="6"/>
        <v/>
      </c>
    </row>
    <row r="389" spans="7:7" x14ac:dyDescent="0.2">
      <c r="G389" t="str">
        <f t="shared" si="6"/>
        <v/>
      </c>
    </row>
    <row r="390" spans="7:7" x14ac:dyDescent="0.2">
      <c r="G390" t="str">
        <f t="shared" si="6"/>
        <v/>
      </c>
    </row>
    <row r="391" spans="7:7" x14ac:dyDescent="0.2">
      <c r="G391" t="str">
        <f t="shared" si="6"/>
        <v/>
      </c>
    </row>
    <row r="392" spans="7:7" x14ac:dyDescent="0.2">
      <c r="G392" t="str">
        <f t="shared" si="6"/>
        <v/>
      </c>
    </row>
    <row r="393" spans="7:7" x14ac:dyDescent="0.2">
      <c r="G393" t="str">
        <f t="shared" si="6"/>
        <v/>
      </c>
    </row>
    <row r="394" spans="7:7" x14ac:dyDescent="0.2">
      <c r="G394" t="str">
        <f t="shared" si="6"/>
        <v/>
      </c>
    </row>
    <row r="395" spans="7:7" x14ac:dyDescent="0.2">
      <c r="G395" t="str">
        <f t="shared" si="6"/>
        <v/>
      </c>
    </row>
    <row r="396" spans="7:7" x14ac:dyDescent="0.2">
      <c r="G396" t="str">
        <f t="shared" si="6"/>
        <v/>
      </c>
    </row>
    <row r="397" spans="7:7" x14ac:dyDescent="0.2">
      <c r="G397" t="str">
        <f t="shared" si="6"/>
        <v/>
      </c>
    </row>
    <row r="398" spans="7:7" x14ac:dyDescent="0.2">
      <c r="G398" t="str">
        <f t="shared" si="6"/>
        <v/>
      </c>
    </row>
    <row r="399" spans="7:7" x14ac:dyDescent="0.2">
      <c r="G399" t="str">
        <f t="shared" si="6"/>
        <v/>
      </c>
    </row>
    <row r="400" spans="7:7" x14ac:dyDescent="0.2">
      <c r="G400" t="str">
        <f t="shared" si="6"/>
        <v/>
      </c>
    </row>
    <row r="401" spans="7:7" x14ac:dyDescent="0.2">
      <c r="G401" t="str">
        <f t="shared" si="6"/>
        <v/>
      </c>
    </row>
    <row r="402" spans="7:7" x14ac:dyDescent="0.2">
      <c r="G402" t="str">
        <f t="shared" si="6"/>
        <v/>
      </c>
    </row>
    <row r="403" spans="7:7" x14ac:dyDescent="0.2">
      <c r="G403" t="str">
        <f t="shared" si="6"/>
        <v/>
      </c>
    </row>
    <row r="404" spans="7:7" x14ac:dyDescent="0.2">
      <c r="G404" t="str">
        <f t="shared" si="6"/>
        <v/>
      </c>
    </row>
    <row r="405" spans="7:7" x14ac:dyDescent="0.2">
      <c r="G405" t="str">
        <f t="shared" si="6"/>
        <v/>
      </c>
    </row>
    <row r="406" spans="7:7" x14ac:dyDescent="0.2">
      <c r="G406" t="str">
        <f t="shared" si="6"/>
        <v/>
      </c>
    </row>
    <row r="407" spans="7:7" x14ac:dyDescent="0.2">
      <c r="G407" t="str">
        <f t="shared" si="6"/>
        <v/>
      </c>
    </row>
    <row r="408" spans="7:7" x14ac:dyDescent="0.2">
      <c r="G408" t="str">
        <f t="shared" si="6"/>
        <v/>
      </c>
    </row>
    <row r="409" spans="7:7" x14ac:dyDescent="0.2">
      <c r="G409" t="str">
        <f t="shared" si="6"/>
        <v/>
      </c>
    </row>
    <row r="410" spans="7:7" x14ac:dyDescent="0.2">
      <c r="G410" t="str">
        <f t="shared" si="6"/>
        <v/>
      </c>
    </row>
    <row r="411" spans="7:7" x14ac:dyDescent="0.2">
      <c r="G411" t="str">
        <f t="shared" si="6"/>
        <v/>
      </c>
    </row>
    <row r="412" spans="7:7" x14ac:dyDescent="0.2">
      <c r="G412" t="str">
        <f t="shared" si="6"/>
        <v/>
      </c>
    </row>
    <row r="413" spans="7:7" x14ac:dyDescent="0.2">
      <c r="G413" t="str">
        <f t="shared" si="6"/>
        <v/>
      </c>
    </row>
    <row r="414" spans="7:7" x14ac:dyDescent="0.2">
      <c r="G414" t="str">
        <f t="shared" si="6"/>
        <v/>
      </c>
    </row>
    <row r="415" spans="7:7" x14ac:dyDescent="0.2">
      <c r="G415" t="str">
        <f t="shared" si="6"/>
        <v/>
      </c>
    </row>
    <row r="416" spans="7:7" x14ac:dyDescent="0.2">
      <c r="G416" t="str">
        <f t="shared" si="6"/>
        <v/>
      </c>
    </row>
    <row r="417" spans="7:7" x14ac:dyDescent="0.2">
      <c r="G417" t="str">
        <f t="shared" si="6"/>
        <v/>
      </c>
    </row>
    <row r="418" spans="7:7" x14ac:dyDescent="0.2">
      <c r="G418" t="str">
        <f t="shared" si="6"/>
        <v/>
      </c>
    </row>
    <row r="419" spans="7:7" x14ac:dyDescent="0.2">
      <c r="G419" t="str">
        <f t="shared" si="6"/>
        <v/>
      </c>
    </row>
    <row r="420" spans="7:7" x14ac:dyDescent="0.2">
      <c r="G420" t="str">
        <f t="shared" si="6"/>
        <v/>
      </c>
    </row>
    <row r="421" spans="7:7" x14ac:dyDescent="0.2">
      <c r="G421" t="str">
        <f t="shared" si="6"/>
        <v/>
      </c>
    </row>
    <row r="422" spans="7:7" x14ac:dyDescent="0.2">
      <c r="G422" t="str">
        <f t="shared" si="6"/>
        <v/>
      </c>
    </row>
    <row r="423" spans="7:7" x14ac:dyDescent="0.2">
      <c r="G423" t="str">
        <f t="shared" si="6"/>
        <v/>
      </c>
    </row>
    <row r="424" spans="7:7" x14ac:dyDescent="0.2">
      <c r="G424" t="str">
        <f t="shared" si="6"/>
        <v/>
      </c>
    </row>
    <row r="425" spans="7:7" x14ac:dyDescent="0.2">
      <c r="G425" t="str">
        <f t="shared" si="6"/>
        <v/>
      </c>
    </row>
    <row r="426" spans="7:7" x14ac:dyDescent="0.2">
      <c r="G426" t="str">
        <f t="shared" si="6"/>
        <v/>
      </c>
    </row>
    <row r="427" spans="7:7" x14ac:dyDescent="0.2">
      <c r="G427" t="str">
        <f t="shared" si="6"/>
        <v/>
      </c>
    </row>
    <row r="428" spans="7:7" x14ac:dyDescent="0.2">
      <c r="G428" t="str">
        <f t="shared" si="6"/>
        <v/>
      </c>
    </row>
    <row r="429" spans="7:7" x14ac:dyDescent="0.2">
      <c r="G429" t="str">
        <f t="shared" si="6"/>
        <v/>
      </c>
    </row>
    <row r="430" spans="7:7" x14ac:dyDescent="0.2">
      <c r="G430" t="str">
        <f t="shared" si="6"/>
        <v/>
      </c>
    </row>
    <row r="431" spans="7:7" x14ac:dyDescent="0.2">
      <c r="G431" t="str">
        <f t="shared" si="6"/>
        <v/>
      </c>
    </row>
    <row r="432" spans="7:7" x14ac:dyDescent="0.2">
      <c r="G432" t="str">
        <f t="shared" si="6"/>
        <v/>
      </c>
    </row>
    <row r="433" spans="7:7" x14ac:dyDescent="0.2">
      <c r="G433" t="str">
        <f t="shared" si="6"/>
        <v/>
      </c>
    </row>
    <row r="434" spans="7:7" x14ac:dyDescent="0.2">
      <c r="G434" t="str">
        <f t="shared" si="6"/>
        <v/>
      </c>
    </row>
    <row r="435" spans="7:7" x14ac:dyDescent="0.2">
      <c r="G435" t="str">
        <f t="shared" si="6"/>
        <v/>
      </c>
    </row>
    <row r="436" spans="7:7" x14ac:dyDescent="0.2">
      <c r="G436" t="str">
        <f t="shared" si="6"/>
        <v/>
      </c>
    </row>
    <row r="437" spans="7:7" x14ac:dyDescent="0.2">
      <c r="G437" t="str">
        <f t="shared" si="6"/>
        <v/>
      </c>
    </row>
    <row r="438" spans="7:7" x14ac:dyDescent="0.2">
      <c r="G438" t="str">
        <f t="shared" si="6"/>
        <v/>
      </c>
    </row>
    <row r="439" spans="7:7" x14ac:dyDescent="0.2">
      <c r="G439" t="str">
        <f t="shared" si="6"/>
        <v/>
      </c>
    </row>
    <row r="440" spans="7:7" x14ac:dyDescent="0.2">
      <c r="G440" t="str">
        <f t="shared" si="6"/>
        <v/>
      </c>
    </row>
    <row r="441" spans="7:7" x14ac:dyDescent="0.2">
      <c r="G441" t="str">
        <f t="shared" si="6"/>
        <v/>
      </c>
    </row>
    <row r="442" spans="7:7" x14ac:dyDescent="0.2">
      <c r="G442" t="str">
        <f t="shared" si="6"/>
        <v/>
      </c>
    </row>
    <row r="443" spans="7:7" x14ac:dyDescent="0.2">
      <c r="G443" t="str">
        <f t="shared" si="6"/>
        <v/>
      </c>
    </row>
    <row r="444" spans="7:7" x14ac:dyDescent="0.2">
      <c r="G444" t="str">
        <f t="shared" si="6"/>
        <v/>
      </c>
    </row>
    <row r="445" spans="7:7" x14ac:dyDescent="0.2">
      <c r="G445" t="str">
        <f t="shared" si="6"/>
        <v/>
      </c>
    </row>
    <row r="446" spans="7:7" x14ac:dyDescent="0.2">
      <c r="G446" t="str">
        <f t="shared" si="6"/>
        <v/>
      </c>
    </row>
    <row r="447" spans="7:7" x14ac:dyDescent="0.2">
      <c r="G447" t="str">
        <f t="shared" si="6"/>
        <v/>
      </c>
    </row>
    <row r="448" spans="7:7" x14ac:dyDescent="0.2">
      <c r="G448" t="str">
        <f t="shared" si="6"/>
        <v/>
      </c>
    </row>
    <row r="449" spans="7:7" x14ac:dyDescent="0.2">
      <c r="G449" t="str">
        <f t="shared" si="6"/>
        <v/>
      </c>
    </row>
    <row r="450" spans="7:7" x14ac:dyDescent="0.2">
      <c r="G450" t="str">
        <f t="shared" ref="G450:G513" si="7">IF(E450="","",E450*F450)</f>
        <v/>
      </c>
    </row>
    <row r="451" spans="7:7" x14ac:dyDescent="0.2">
      <c r="G451" t="str">
        <f t="shared" si="7"/>
        <v/>
      </c>
    </row>
    <row r="452" spans="7:7" x14ac:dyDescent="0.2">
      <c r="G452" t="str">
        <f t="shared" si="7"/>
        <v/>
      </c>
    </row>
    <row r="453" spans="7:7" x14ac:dyDescent="0.2">
      <c r="G453" t="str">
        <f t="shared" si="7"/>
        <v/>
      </c>
    </row>
    <row r="454" spans="7:7" x14ac:dyDescent="0.2">
      <c r="G454" t="str">
        <f t="shared" si="7"/>
        <v/>
      </c>
    </row>
    <row r="455" spans="7:7" x14ac:dyDescent="0.2">
      <c r="G455" t="str">
        <f t="shared" si="7"/>
        <v/>
      </c>
    </row>
    <row r="456" spans="7:7" x14ac:dyDescent="0.2">
      <c r="G456" t="str">
        <f t="shared" si="7"/>
        <v/>
      </c>
    </row>
    <row r="457" spans="7:7" x14ac:dyDescent="0.2">
      <c r="G457" t="str">
        <f t="shared" si="7"/>
        <v/>
      </c>
    </row>
    <row r="458" spans="7:7" x14ac:dyDescent="0.2">
      <c r="G458" t="str">
        <f t="shared" si="7"/>
        <v/>
      </c>
    </row>
    <row r="459" spans="7:7" x14ac:dyDescent="0.2">
      <c r="G459" t="str">
        <f t="shared" si="7"/>
        <v/>
      </c>
    </row>
    <row r="460" spans="7:7" x14ac:dyDescent="0.2">
      <c r="G460" t="str">
        <f t="shared" si="7"/>
        <v/>
      </c>
    </row>
    <row r="461" spans="7:7" x14ac:dyDescent="0.2">
      <c r="G461" t="str">
        <f t="shared" si="7"/>
        <v/>
      </c>
    </row>
    <row r="462" spans="7:7" x14ac:dyDescent="0.2">
      <c r="G462" t="str">
        <f t="shared" si="7"/>
        <v/>
      </c>
    </row>
    <row r="463" spans="7:7" x14ac:dyDescent="0.2">
      <c r="G463" t="str">
        <f t="shared" si="7"/>
        <v/>
      </c>
    </row>
    <row r="464" spans="7:7" x14ac:dyDescent="0.2">
      <c r="G464" t="str">
        <f t="shared" si="7"/>
        <v/>
      </c>
    </row>
    <row r="465" spans="7:7" x14ac:dyDescent="0.2">
      <c r="G465" t="str">
        <f t="shared" si="7"/>
        <v/>
      </c>
    </row>
    <row r="466" spans="7:7" x14ac:dyDescent="0.2">
      <c r="G466" t="str">
        <f t="shared" si="7"/>
        <v/>
      </c>
    </row>
    <row r="467" spans="7:7" x14ac:dyDescent="0.2">
      <c r="G467" t="str">
        <f t="shared" si="7"/>
        <v/>
      </c>
    </row>
    <row r="468" spans="7:7" x14ac:dyDescent="0.2">
      <c r="G468" t="str">
        <f t="shared" si="7"/>
        <v/>
      </c>
    </row>
    <row r="469" spans="7:7" x14ac:dyDescent="0.2">
      <c r="G469" t="str">
        <f t="shared" si="7"/>
        <v/>
      </c>
    </row>
    <row r="470" spans="7:7" x14ac:dyDescent="0.2">
      <c r="G470" t="str">
        <f t="shared" si="7"/>
        <v/>
      </c>
    </row>
    <row r="471" spans="7:7" x14ac:dyDescent="0.2">
      <c r="G471" t="str">
        <f t="shared" si="7"/>
        <v/>
      </c>
    </row>
    <row r="472" spans="7:7" x14ac:dyDescent="0.2">
      <c r="G472" t="str">
        <f t="shared" si="7"/>
        <v/>
      </c>
    </row>
    <row r="473" spans="7:7" x14ac:dyDescent="0.2">
      <c r="G473" t="str">
        <f t="shared" si="7"/>
        <v/>
      </c>
    </row>
    <row r="474" spans="7:7" x14ac:dyDescent="0.2">
      <c r="G474" t="str">
        <f t="shared" si="7"/>
        <v/>
      </c>
    </row>
    <row r="475" spans="7:7" x14ac:dyDescent="0.2">
      <c r="G475" t="str">
        <f t="shared" si="7"/>
        <v/>
      </c>
    </row>
    <row r="476" spans="7:7" x14ac:dyDescent="0.2">
      <c r="G476" t="str">
        <f t="shared" si="7"/>
        <v/>
      </c>
    </row>
    <row r="477" spans="7:7" x14ac:dyDescent="0.2">
      <c r="G477" t="str">
        <f t="shared" si="7"/>
        <v/>
      </c>
    </row>
    <row r="478" spans="7:7" x14ac:dyDescent="0.2">
      <c r="G478" t="str">
        <f t="shared" si="7"/>
        <v/>
      </c>
    </row>
    <row r="479" spans="7:7" x14ac:dyDescent="0.2">
      <c r="G479" t="str">
        <f t="shared" si="7"/>
        <v/>
      </c>
    </row>
    <row r="480" spans="7:7" x14ac:dyDescent="0.2">
      <c r="G480" t="str">
        <f t="shared" si="7"/>
        <v/>
      </c>
    </row>
    <row r="481" spans="7:7" x14ac:dyDescent="0.2">
      <c r="G481" t="str">
        <f t="shared" si="7"/>
        <v/>
      </c>
    </row>
    <row r="482" spans="7:7" x14ac:dyDescent="0.2">
      <c r="G482" t="str">
        <f t="shared" si="7"/>
        <v/>
      </c>
    </row>
    <row r="483" spans="7:7" x14ac:dyDescent="0.2">
      <c r="G483" t="str">
        <f t="shared" si="7"/>
        <v/>
      </c>
    </row>
    <row r="484" spans="7:7" x14ac:dyDescent="0.2">
      <c r="G484" t="str">
        <f t="shared" si="7"/>
        <v/>
      </c>
    </row>
    <row r="485" spans="7:7" x14ac:dyDescent="0.2">
      <c r="G485" t="str">
        <f t="shared" si="7"/>
        <v/>
      </c>
    </row>
    <row r="486" spans="7:7" x14ac:dyDescent="0.2">
      <c r="G486" t="str">
        <f t="shared" si="7"/>
        <v/>
      </c>
    </row>
    <row r="487" spans="7:7" x14ac:dyDescent="0.2">
      <c r="G487" t="str">
        <f t="shared" si="7"/>
        <v/>
      </c>
    </row>
    <row r="488" spans="7:7" x14ac:dyDescent="0.2">
      <c r="G488" t="str">
        <f t="shared" si="7"/>
        <v/>
      </c>
    </row>
    <row r="489" spans="7:7" x14ac:dyDescent="0.2">
      <c r="G489" t="str">
        <f t="shared" si="7"/>
        <v/>
      </c>
    </row>
    <row r="490" spans="7:7" x14ac:dyDescent="0.2">
      <c r="G490" t="str">
        <f t="shared" si="7"/>
        <v/>
      </c>
    </row>
    <row r="491" spans="7:7" x14ac:dyDescent="0.2">
      <c r="G491" t="str">
        <f t="shared" si="7"/>
        <v/>
      </c>
    </row>
    <row r="492" spans="7:7" x14ac:dyDescent="0.2">
      <c r="G492" t="str">
        <f t="shared" si="7"/>
        <v/>
      </c>
    </row>
    <row r="493" spans="7:7" x14ac:dyDescent="0.2">
      <c r="G493" t="str">
        <f t="shared" si="7"/>
        <v/>
      </c>
    </row>
    <row r="494" spans="7:7" x14ac:dyDescent="0.2">
      <c r="G494" t="str">
        <f t="shared" si="7"/>
        <v/>
      </c>
    </row>
    <row r="495" spans="7:7" x14ac:dyDescent="0.2">
      <c r="G495" t="str">
        <f t="shared" si="7"/>
        <v/>
      </c>
    </row>
    <row r="496" spans="7:7" x14ac:dyDescent="0.2">
      <c r="G496" t="str">
        <f t="shared" si="7"/>
        <v/>
      </c>
    </row>
    <row r="497" spans="7:7" x14ac:dyDescent="0.2">
      <c r="G497" t="str">
        <f t="shared" si="7"/>
        <v/>
      </c>
    </row>
    <row r="498" spans="7:7" x14ac:dyDescent="0.2">
      <c r="G498" t="str">
        <f t="shared" si="7"/>
        <v/>
      </c>
    </row>
    <row r="499" spans="7:7" x14ac:dyDescent="0.2">
      <c r="G499" t="str">
        <f t="shared" si="7"/>
        <v/>
      </c>
    </row>
    <row r="500" spans="7:7" x14ac:dyDescent="0.2">
      <c r="G500" t="str">
        <f t="shared" si="7"/>
        <v/>
      </c>
    </row>
    <row r="501" spans="7:7" x14ac:dyDescent="0.2">
      <c r="G501" t="str">
        <f t="shared" si="7"/>
        <v/>
      </c>
    </row>
    <row r="502" spans="7:7" x14ac:dyDescent="0.2">
      <c r="G502" t="str">
        <f t="shared" si="7"/>
        <v/>
      </c>
    </row>
    <row r="503" spans="7:7" x14ac:dyDescent="0.2">
      <c r="G503" t="str">
        <f t="shared" si="7"/>
        <v/>
      </c>
    </row>
    <row r="504" spans="7:7" x14ac:dyDescent="0.2">
      <c r="G504" t="str">
        <f t="shared" si="7"/>
        <v/>
      </c>
    </row>
    <row r="505" spans="7:7" x14ac:dyDescent="0.2">
      <c r="G505" t="str">
        <f t="shared" si="7"/>
        <v/>
      </c>
    </row>
    <row r="506" spans="7:7" x14ac:dyDescent="0.2">
      <c r="G506" t="str">
        <f t="shared" si="7"/>
        <v/>
      </c>
    </row>
    <row r="507" spans="7:7" x14ac:dyDescent="0.2">
      <c r="G507" t="str">
        <f t="shared" si="7"/>
        <v/>
      </c>
    </row>
    <row r="508" spans="7:7" x14ac:dyDescent="0.2">
      <c r="G508" t="str">
        <f t="shared" si="7"/>
        <v/>
      </c>
    </row>
    <row r="509" spans="7:7" x14ac:dyDescent="0.2">
      <c r="G509" t="str">
        <f t="shared" si="7"/>
        <v/>
      </c>
    </row>
    <row r="510" spans="7:7" x14ac:dyDescent="0.2">
      <c r="G510" t="str">
        <f t="shared" si="7"/>
        <v/>
      </c>
    </row>
    <row r="511" spans="7:7" x14ac:dyDescent="0.2">
      <c r="G511" t="str">
        <f t="shared" si="7"/>
        <v/>
      </c>
    </row>
    <row r="512" spans="7:7" x14ac:dyDescent="0.2">
      <c r="G512" t="str">
        <f t="shared" si="7"/>
        <v/>
      </c>
    </row>
    <row r="513" spans="7:7" x14ac:dyDescent="0.2">
      <c r="G513" t="str">
        <f t="shared" si="7"/>
        <v/>
      </c>
    </row>
    <row r="514" spans="7:7" x14ac:dyDescent="0.2">
      <c r="G514" t="str">
        <f t="shared" ref="G514:G577" si="8">IF(E514="","",E514*F514)</f>
        <v/>
      </c>
    </row>
    <row r="515" spans="7:7" x14ac:dyDescent="0.2">
      <c r="G515" t="str">
        <f t="shared" si="8"/>
        <v/>
      </c>
    </row>
    <row r="516" spans="7:7" x14ac:dyDescent="0.2">
      <c r="G516" t="str">
        <f t="shared" si="8"/>
        <v/>
      </c>
    </row>
    <row r="517" spans="7:7" x14ac:dyDescent="0.2">
      <c r="G517" t="str">
        <f t="shared" si="8"/>
        <v/>
      </c>
    </row>
    <row r="518" spans="7:7" x14ac:dyDescent="0.2">
      <c r="G518" t="str">
        <f t="shared" si="8"/>
        <v/>
      </c>
    </row>
    <row r="519" spans="7:7" x14ac:dyDescent="0.2">
      <c r="G519" t="str">
        <f t="shared" si="8"/>
        <v/>
      </c>
    </row>
    <row r="520" spans="7:7" x14ac:dyDescent="0.2">
      <c r="G520" t="str">
        <f t="shared" si="8"/>
        <v/>
      </c>
    </row>
    <row r="521" spans="7:7" x14ac:dyDescent="0.2">
      <c r="G521" t="str">
        <f t="shared" si="8"/>
        <v/>
      </c>
    </row>
    <row r="522" spans="7:7" x14ac:dyDescent="0.2">
      <c r="G522" t="str">
        <f t="shared" si="8"/>
        <v/>
      </c>
    </row>
    <row r="523" spans="7:7" x14ac:dyDescent="0.2">
      <c r="G523" t="str">
        <f t="shared" si="8"/>
        <v/>
      </c>
    </row>
    <row r="524" spans="7:7" x14ac:dyDescent="0.2">
      <c r="G524" t="str">
        <f t="shared" si="8"/>
        <v/>
      </c>
    </row>
    <row r="525" spans="7:7" x14ac:dyDescent="0.2">
      <c r="G525" t="str">
        <f t="shared" si="8"/>
        <v/>
      </c>
    </row>
    <row r="526" spans="7:7" x14ac:dyDescent="0.2">
      <c r="G526" t="str">
        <f t="shared" si="8"/>
        <v/>
      </c>
    </row>
    <row r="527" spans="7:7" x14ac:dyDescent="0.2">
      <c r="G527" t="str">
        <f t="shared" si="8"/>
        <v/>
      </c>
    </row>
    <row r="528" spans="7:7" x14ac:dyDescent="0.2">
      <c r="G528" t="str">
        <f t="shared" si="8"/>
        <v/>
      </c>
    </row>
    <row r="529" spans="7:7" x14ac:dyDescent="0.2">
      <c r="G529" t="str">
        <f t="shared" si="8"/>
        <v/>
      </c>
    </row>
    <row r="530" spans="7:7" x14ac:dyDescent="0.2">
      <c r="G530" t="str">
        <f t="shared" si="8"/>
        <v/>
      </c>
    </row>
    <row r="531" spans="7:7" x14ac:dyDescent="0.2">
      <c r="G531" t="str">
        <f t="shared" si="8"/>
        <v/>
      </c>
    </row>
    <row r="532" spans="7:7" x14ac:dyDescent="0.2">
      <c r="G532" t="str">
        <f t="shared" si="8"/>
        <v/>
      </c>
    </row>
    <row r="533" spans="7:7" x14ac:dyDescent="0.2">
      <c r="G533" t="str">
        <f t="shared" si="8"/>
        <v/>
      </c>
    </row>
    <row r="534" spans="7:7" x14ac:dyDescent="0.2">
      <c r="G534" t="str">
        <f t="shared" si="8"/>
        <v/>
      </c>
    </row>
    <row r="535" spans="7:7" x14ac:dyDescent="0.2">
      <c r="G535" t="str">
        <f t="shared" si="8"/>
        <v/>
      </c>
    </row>
    <row r="536" spans="7:7" x14ac:dyDescent="0.2">
      <c r="G536" t="str">
        <f t="shared" si="8"/>
        <v/>
      </c>
    </row>
    <row r="537" spans="7:7" x14ac:dyDescent="0.2">
      <c r="G537" t="str">
        <f t="shared" si="8"/>
        <v/>
      </c>
    </row>
    <row r="538" spans="7:7" x14ac:dyDescent="0.2">
      <c r="G538" t="str">
        <f t="shared" si="8"/>
        <v/>
      </c>
    </row>
    <row r="539" spans="7:7" x14ac:dyDescent="0.2">
      <c r="G539" t="str">
        <f t="shared" si="8"/>
        <v/>
      </c>
    </row>
    <row r="540" spans="7:7" x14ac:dyDescent="0.2">
      <c r="G540" t="str">
        <f t="shared" si="8"/>
        <v/>
      </c>
    </row>
    <row r="541" spans="7:7" x14ac:dyDescent="0.2">
      <c r="G541" t="str">
        <f t="shared" si="8"/>
        <v/>
      </c>
    </row>
    <row r="542" spans="7:7" x14ac:dyDescent="0.2">
      <c r="G542" t="str">
        <f t="shared" si="8"/>
        <v/>
      </c>
    </row>
    <row r="543" spans="7:7" x14ac:dyDescent="0.2">
      <c r="G543" t="str">
        <f t="shared" si="8"/>
        <v/>
      </c>
    </row>
    <row r="544" spans="7:7" x14ac:dyDescent="0.2">
      <c r="G544" t="str">
        <f t="shared" si="8"/>
        <v/>
      </c>
    </row>
    <row r="545" spans="7:7" x14ac:dyDescent="0.2">
      <c r="G545" t="str">
        <f t="shared" si="8"/>
        <v/>
      </c>
    </row>
    <row r="546" spans="7:7" x14ac:dyDescent="0.2">
      <c r="G546" t="str">
        <f t="shared" si="8"/>
        <v/>
      </c>
    </row>
    <row r="547" spans="7:7" x14ac:dyDescent="0.2">
      <c r="G547" t="str">
        <f t="shared" si="8"/>
        <v/>
      </c>
    </row>
    <row r="548" spans="7:7" x14ac:dyDescent="0.2">
      <c r="G548" t="str">
        <f t="shared" si="8"/>
        <v/>
      </c>
    </row>
    <row r="549" spans="7:7" x14ac:dyDescent="0.2">
      <c r="G549" t="str">
        <f t="shared" si="8"/>
        <v/>
      </c>
    </row>
    <row r="550" spans="7:7" x14ac:dyDescent="0.2">
      <c r="G550" t="str">
        <f t="shared" si="8"/>
        <v/>
      </c>
    </row>
    <row r="551" spans="7:7" x14ac:dyDescent="0.2">
      <c r="G551" t="str">
        <f t="shared" si="8"/>
        <v/>
      </c>
    </row>
    <row r="552" spans="7:7" x14ac:dyDescent="0.2">
      <c r="G552" t="str">
        <f t="shared" si="8"/>
        <v/>
      </c>
    </row>
    <row r="553" spans="7:7" x14ac:dyDescent="0.2">
      <c r="G553" t="str">
        <f t="shared" si="8"/>
        <v/>
      </c>
    </row>
    <row r="554" spans="7:7" x14ac:dyDescent="0.2">
      <c r="G554" t="str">
        <f t="shared" si="8"/>
        <v/>
      </c>
    </row>
    <row r="555" spans="7:7" x14ac:dyDescent="0.2">
      <c r="G555" t="str">
        <f t="shared" si="8"/>
        <v/>
      </c>
    </row>
    <row r="556" spans="7:7" x14ac:dyDescent="0.2">
      <c r="G556" t="str">
        <f t="shared" si="8"/>
        <v/>
      </c>
    </row>
    <row r="557" spans="7:7" x14ac:dyDescent="0.2">
      <c r="G557" t="str">
        <f t="shared" si="8"/>
        <v/>
      </c>
    </row>
    <row r="558" spans="7:7" x14ac:dyDescent="0.2">
      <c r="G558" t="str">
        <f t="shared" si="8"/>
        <v/>
      </c>
    </row>
    <row r="559" spans="7:7" x14ac:dyDescent="0.2">
      <c r="G559" t="str">
        <f t="shared" si="8"/>
        <v/>
      </c>
    </row>
    <row r="560" spans="7:7" x14ac:dyDescent="0.2">
      <c r="G560" t="str">
        <f t="shared" si="8"/>
        <v/>
      </c>
    </row>
    <row r="561" spans="7:7" x14ac:dyDescent="0.2">
      <c r="G561" t="str">
        <f t="shared" si="8"/>
        <v/>
      </c>
    </row>
    <row r="562" spans="7:7" x14ac:dyDescent="0.2">
      <c r="G562" t="str">
        <f t="shared" si="8"/>
        <v/>
      </c>
    </row>
    <row r="563" spans="7:7" x14ac:dyDescent="0.2">
      <c r="G563" t="str">
        <f t="shared" si="8"/>
        <v/>
      </c>
    </row>
    <row r="564" spans="7:7" x14ac:dyDescent="0.2">
      <c r="G564" t="str">
        <f t="shared" si="8"/>
        <v/>
      </c>
    </row>
    <row r="565" spans="7:7" x14ac:dyDescent="0.2">
      <c r="G565" t="str">
        <f t="shared" si="8"/>
        <v/>
      </c>
    </row>
    <row r="566" spans="7:7" x14ac:dyDescent="0.2">
      <c r="G566" t="str">
        <f t="shared" si="8"/>
        <v/>
      </c>
    </row>
    <row r="567" spans="7:7" x14ac:dyDescent="0.2">
      <c r="G567" t="str">
        <f t="shared" si="8"/>
        <v/>
      </c>
    </row>
    <row r="568" spans="7:7" x14ac:dyDescent="0.2">
      <c r="G568" t="str">
        <f t="shared" si="8"/>
        <v/>
      </c>
    </row>
    <row r="569" spans="7:7" x14ac:dyDescent="0.2">
      <c r="G569" t="str">
        <f t="shared" si="8"/>
        <v/>
      </c>
    </row>
    <row r="570" spans="7:7" x14ac:dyDescent="0.2">
      <c r="G570" t="str">
        <f t="shared" si="8"/>
        <v/>
      </c>
    </row>
    <row r="571" spans="7:7" x14ac:dyDescent="0.2">
      <c r="G571" t="str">
        <f t="shared" si="8"/>
        <v/>
      </c>
    </row>
    <row r="572" spans="7:7" x14ac:dyDescent="0.2">
      <c r="G572" t="str">
        <f t="shared" si="8"/>
        <v/>
      </c>
    </row>
    <row r="573" spans="7:7" x14ac:dyDescent="0.2">
      <c r="G573" t="str">
        <f t="shared" si="8"/>
        <v/>
      </c>
    </row>
    <row r="574" spans="7:7" x14ac:dyDescent="0.2">
      <c r="G574" t="str">
        <f t="shared" si="8"/>
        <v/>
      </c>
    </row>
    <row r="575" spans="7:7" x14ac:dyDescent="0.2">
      <c r="G575" t="str">
        <f t="shared" si="8"/>
        <v/>
      </c>
    </row>
    <row r="576" spans="7:7" x14ac:dyDescent="0.2">
      <c r="G576" t="str">
        <f t="shared" si="8"/>
        <v/>
      </c>
    </row>
    <row r="577" spans="7:7" x14ac:dyDescent="0.2">
      <c r="G577" t="str">
        <f t="shared" si="8"/>
        <v/>
      </c>
    </row>
    <row r="578" spans="7:7" x14ac:dyDescent="0.2">
      <c r="G578" t="str">
        <f t="shared" ref="G578:G641" si="9">IF(E578="","",E578*F578)</f>
        <v/>
      </c>
    </row>
    <row r="579" spans="7:7" x14ac:dyDescent="0.2">
      <c r="G579" t="str">
        <f t="shared" si="9"/>
        <v/>
      </c>
    </row>
    <row r="580" spans="7:7" x14ac:dyDescent="0.2">
      <c r="G580" t="str">
        <f t="shared" si="9"/>
        <v/>
      </c>
    </row>
    <row r="581" spans="7:7" x14ac:dyDescent="0.2">
      <c r="G581" t="str">
        <f t="shared" si="9"/>
        <v/>
      </c>
    </row>
    <row r="582" spans="7:7" x14ac:dyDescent="0.2">
      <c r="G582" t="str">
        <f t="shared" si="9"/>
        <v/>
      </c>
    </row>
    <row r="583" spans="7:7" x14ac:dyDescent="0.2">
      <c r="G583" t="str">
        <f t="shared" si="9"/>
        <v/>
      </c>
    </row>
    <row r="584" spans="7:7" x14ac:dyDescent="0.2">
      <c r="G584" t="str">
        <f t="shared" si="9"/>
        <v/>
      </c>
    </row>
    <row r="585" spans="7:7" x14ac:dyDescent="0.2">
      <c r="G585" t="str">
        <f t="shared" si="9"/>
        <v/>
      </c>
    </row>
    <row r="586" spans="7:7" x14ac:dyDescent="0.2">
      <c r="G586" t="str">
        <f t="shared" si="9"/>
        <v/>
      </c>
    </row>
    <row r="587" spans="7:7" x14ac:dyDescent="0.2">
      <c r="G587" t="str">
        <f t="shared" si="9"/>
        <v/>
      </c>
    </row>
    <row r="588" spans="7:7" x14ac:dyDescent="0.2">
      <c r="G588" t="str">
        <f t="shared" si="9"/>
        <v/>
      </c>
    </row>
    <row r="589" spans="7:7" x14ac:dyDescent="0.2">
      <c r="G589" t="str">
        <f t="shared" si="9"/>
        <v/>
      </c>
    </row>
    <row r="590" spans="7:7" x14ac:dyDescent="0.2">
      <c r="G590" t="str">
        <f t="shared" si="9"/>
        <v/>
      </c>
    </row>
    <row r="591" spans="7:7" x14ac:dyDescent="0.2">
      <c r="G591" t="str">
        <f t="shared" si="9"/>
        <v/>
      </c>
    </row>
    <row r="592" spans="7:7" x14ac:dyDescent="0.2">
      <c r="G592" t="str">
        <f t="shared" si="9"/>
        <v/>
      </c>
    </row>
    <row r="593" spans="7:7" x14ac:dyDescent="0.2">
      <c r="G593" t="str">
        <f t="shared" si="9"/>
        <v/>
      </c>
    </row>
    <row r="594" spans="7:7" x14ac:dyDescent="0.2">
      <c r="G594" t="str">
        <f t="shared" si="9"/>
        <v/>
      </c>
    </row>
    <row r="595" spans="7:7" x14ac:dyDescent="0.2">
      <c r="G595" t="str">
        <f t="shared" si="9"/>
        <v/>
      </c>
    </row>
    <row r="596" spans="7:7" x14ac:dyDescent="0.2">
      <c r="G596" t="str">
        <f t="shared" si="9"/>
        <v/>
      </c>
    </row>
    <row r="597" spans="7:7" x14ac:dyDescent="0.2">
      <c r="G597" t="str">
        <f t="shared" si="9"/>
        <v/>
      </c>
    </row>
    <row r="598" spans="7:7" x14ac:dyDescent="0.2">
      <c r="G598" t="str">
        <f t="shared" si="9"/>
        <v/>
      </c>
    </row>
    <row r="599" spans="7:7" x14ac:dyDescent="0.2">
      <c r="G599" t="str">
        <f t="shared" si="9"/>
        <v/>
      </c>
    </row>
    <row r="600" spans="7:7" x14ac:dyDescent="0.2">
      <c r="G600" t="str">
        <f t="shared" si="9"/>
        <v/>
      </c>
    </row>
    <row r="601" spans="7:7" x14ac:dyDescent="0.2">
      <c r="G601" t="str">
        <f t="shared" si="9"/>
        <v/>
      </c>
    </row>
    <row r="602" spans="7:7" x14ac:dyDescent="0.2">
      <c r="G602" t="str">
        <f t="shared" si="9"/>
        <v/>
      </c>
    </row>
    <row r="603" spans="7:7" x14ac:dyDescent="0.2">
      <c r="G603" t="str">
        <f t="shared" si="9"/>
        <v/>
      </c>
    </row>
    <row r="604" spans="7:7" x14ac:dyDescent="0.2">
      <c r="G604" t="str">
        <f t="shared" si="9"/>
        <v/>
      </c>
    </row>
    <row r="605" spans="7:7" x14ac:dyDescent="0.2">
      <c r="G605" t="str">
        <f t="shared" si="9"/>
        <v/>
      </c>
    </row>
    <row r="606" spans="7:7" x14ac:dyDescent="0.2">
      <c r="G606" t="str">
        <f t="shared" si="9"/>
        <v/>
      </c>
    </row>
    <row r="607" spans="7:7" x14ac:dyDescent="0.2">
      <c r="G607" t="str">
        <f t="shared" si="9"/>
        <v/>
      </c>
    </row>
    <row r="608" spans="7:7" x14ac:dyDescent="0.2">
      <c r="G608" t="str">
        <f t="shared" si="9"/>
        <v/>
      </c>
    </row>
    <row r="609" spans="7:7" x14ac:dyDescent="0.2">
      <c r="G609" t="str">
        <f t="shared" si="9"/>
        <v/>
      </c>
    </row>
    <row r="610" spans="7:7" x14ac:dyDescent="0.2">
      <c r="G610" t="str">
        <f t="shared" si="9"/>
        <v/>
      </c>
    </row>
    <row r="611" spans="7:7" x14ac:dyDescent="0.2">
      <c r="G611" t="str">
        <f t="shared" si="9"/>
        <v/>
      </c>
    </row>
    <row r="612" spans="7:7" x14ac:dyDescent="0.2">
      <c r="G612" t="str">
        <f t="shared" si="9"/>
        <v/>
      </c>
    </row>
    <row r="613" spans="7:7" x14ac:dyDescent="0.2">
      <c r="G613" t="str">
        <f t="shared" si="9"/>
        <v/>
      </c>
    </row>
    <row r="614" spans="7:7" x14ac:dyDescent="0.2">
      <c r="G614" t="str">
        <f t="shared" si="9"/>
        <v/>
      </c>
    </row>
    <row r="615" spans="7:7" x14ac:dyDescent="0.2">
      <c r="G615" t="str">
        <f t="shared" si="9"/>
        <v/>
      </c>
    </row>
    <row r="616" spans="7:7" x14ac:dyDescent="0.2">
      <c r="G616" t="str">
        <f t="shared" si="9"/>
        <v/>
      </c>
    </row>
    <row r="617" spans="7:7" x14ac:dyDescent="0.2">
      <c r="G617" t="str">
        <f t="shared" si="9"/>
        <v/>
      </c>
    </row>
    <row r="618" spans="7:7" x14ac:dyDescent="0.2">
      <c r="G618" t="str">
        <f t="shared" si="9"/>
        <v/>
      </c>
    </row>
    <row r="619" spans="7:7" x14ac:dyDescent="0.2">
      <c r="G619" t="str">
        <f t="shared" si="9"/>
        <v/>
      </c>
    </row>
    <row r="620" spans="7:7" x14ac:dyDescent="0.2">
      <c r="G620" t="str">
        <f t="shared" si="9"/>
        <v/>
      </c>
    </row>
    <row r="621" spans="7:7" x14ac:dyDescent="0.2">
      <c r="G621" t="str">
        <f t="shared" si="9"/>
        <v/>
      </c>
    </row>
    <row r="622" spans="7:7" x14ac:dyDescent="0.2">
      <c r="G622" t="str">
        <f t="shared" si="9"/>
        <v/>
      </c>
    </row>
    <row r="623" spans="7:7" x14ac:dyDescent="0.2">
      <c r="G623" t="str">
        <f t="shared" si="9"/>
        <v/>
      </c>
    </row>
    <row r="624" spans="7:7" x14ac:dyDescent="0.2">
      <c r="G624" t="str">
        <f t="shared" si="9"/>
        <v/>
      </c>
    </row>
    <row r="625" spans="7:7" x14ac:dyDescent="0.2">
      <c r="G625" t="str">
        <f t="shared" si="9"/>
        <v/>
      </c>
    </row>
    <row r="626" spans="7:7" x14ac:dyDescent="0.2">
      <c r="G626" t="str">
        <f t="shared" si="9"/>
        <v/>
      </c>
    </row>
    <row r="627" spans="7:7" x14ac:dyDescent="0.2">
      <c r="G627" t="str">
        <f t="shared" si="9"/>
        <v/>
      </c>
    </row>
    <row r="628" spans="7:7" x14ac:dyDescent="0.2">
      <c r="G628" t="str">
        <f t="shared" si="9"/>
        <v/>
      </c>
    </row>
    <row r="629" spans="7:7" x14ac:dyDescent="0.2">
      <c r="G629" t="str">
        <f t="shared" si="9"/>
        <v/>
      </c>
    </row>
    <row r="630" spans="7:7" x14ac:dyDescent="0.2">
      <c r="G630" t="str">
        <f t="shared" si="9"/>
        <v/>
      </c>
    </row>
    <row r="631" spans="7:7" x14ac:dyDescent="0.2">
      <c r="G631" t="str">
        <f t="shared" si="9"/>
        <v/>
      </c>
    </row>
    <row r="632" spans="7:7" x14ac:dyDescent="0.2">
      <c r="G632" t="str">
        <f t="shared" si="9"/>
        <v/>
      </c>
    </row>
    <row r="633" spans="7:7" x14ac:dyDescent="0.2">
      <c r="G633" t="str">
        <f t="shared" si="9"/>
        <v/>
      </c>
    </row>
    <row r="634" spans="7:7" x14ac:dyDescent="0.2">
      <c r="G634" t="str">
        <f t="shared" si="9"/>
        <v/>
      </c>
    </row>
    <row r="635" spans="7:7" x14ac:dyDescent="0.2">
      <c r="G635" t="str">
        <f t="shared" si="9"/>
        <v/>
      </c>
    </row>
    <row r="636" spans="7:7" x14ac:dyDescent="0.2">
      <c r="G636" t="str">
        <f t="shared" si="9"/>
        <v/>
      </c>
    </row>
    <row r="637" spans="7:7" x14ac:dyDescent="0.2">
      <c r="G637" t="str">
        <f t="shared" si="9"/>
        <v/>
      </c>
    </row>
    <row r="638" spans="7:7" x14ac:dyDescent="0.2">
      <c r="G638" t="str">
        <f t="shared" si="9"/>
        <v/>
      </c>
    </row>
    <row r="639" spans="7:7" x14ac:dyDescent="0.2">
      <c r="G639" t="str">
        <f t="shared" si="9"/>
        <v/>
      </c>
    </row>
    <row r="640" spans="7:7" x14ac:dyDescent="0.2">
      <c r="G640" t="str">
        <f t="shared" si="9"/>
        <v/>
      </c>
    </row>
    <row r="641" spans="7:7" x14ac:dyDescent="0.2">
      <c r="G641" t="str">
        <f t="shared" si="9"/>
        <v/>
      </c>
    </row>
    <row r="642" spans="7:7" x14ac:dyDescent="0.2">
      <c r="G642" t="str">
        <f t="shared" ref="G642:G705" si="10">IF(E642="","",E642*F642)</f>
        <v/>
      </c>
    </row>
    <row r="643" spans="7:7" x14ac:dyDescent="0.2">
      <c r="G643" t="str">
        <f t="shared" si="10"/>
        <v/>
      </c>
    </row>
    <row r="644" spans="7:7" x14ac:dyDescent="0.2">
      <c r="G644" t="str">
        <f t="shared" si="10"/>
        <v/>
      </c>
    </row>
    <row r="645" spans="7:7" x14ac:dyDescent="0.2">
      <c r="G645" t="str">
        <f t="shared" si="10"/>
        <v/>
      </c>
    </row>
    <row r="646" spans="7:7" x14ac:dyDescent="0.2">
      <c r="G646" t="str">
        <f t="shared" si="10"/>
        <v/>
      </c>
    </row>
    <row r="647" spans="7:7" x14ac:dyDescent="0.2">
      <c r="G647" t="str">
        <f t="shared" si="10"/>
        <v/>
      </c>
    </row>
    <row r="648" spans="7:7" x14ac:dyDescent="0.2">
      <c r="G648" t="str">
        <f t="shared" si="10"/>
        <v/>
      </c>
    </row>
    <row r="649" spans="7:7" x14ac:dyDescent="0.2">
      <c r="G649" t="str">
        <f t="shared" si="10"/>
        <v/>
      </c>
    </row>
    <row r="650" spans="7:7" x14ac:dyDescent="0.2">
      <c r="G650" t="str">
        <f t="shared" si="10"/>
        <v/>
      </c>
    </row>
    <row r="651" spans="7:7" x14ac:dyDescent="0.2">
      <c r="G651" t="str">
        <f t="shared" si="10"/>
        <v/>
      </c>
    </row>
    <row r="652" spans="7:7" x14ac:dyDescent="0.2">
      <c r="G652" t="str">
        <f t="shared" si="10"/>
        <v/>
      </c>
    </row>
    <row r="653" spans="7:7" x14ac:dyDescent="0.2">
      <c r="G653" t="str">
        <f t="shared" si="10"/>
        <v/>
      </c>
    </row>
    <row r="654" spans="7:7" x14ac:dyDescent="0.2">
      <c r="G654" t="str">
        <f t="shared" si="10"/>
        <v/>
      </c>
    </row>
    <row r="655" spans="7:7" x14ac:dyDescent="0.2">
      <c r="G655" t="str">
        <f t="shared" si="10"/>
        <v/>
      </c>
    </row>
    <row r="656" spans="7:7" x14ac:dyDescent="0.2">
      <c r="G656" t="str">
        <f t="shared" si="10"/>
        <v/>
      </c>
    </row>
    <row r="657" spans="7:7" x14ac:dyDescent="0.2">
      <c r="G657" t="str">
        <f t="shared" si="10"/>
        <v/>
      </c>
    </row>
    <row r="658" spans="7:7" x14ac:dyDescent="0.2">
      <c r="G658" t="str">
        <f t="shared" si="10"/>
        <v/>
      </c>
    </row>
    <row r="659" spans="7:7" x14ac:dyDescent="0.2">
      <c r="G659" t="str">
        <f t="shared" si="10"/>
        <v/>
      </c>
    </row>
    <row r="660" spans="7:7" x14ac:dyDescent="0.2">
      <c r="G660" t="str">
        <f t="shared" si="10"/>
        <v/>
      </c>
    </row>
    <row r="661" spans="7:7" x14ac:dyDescent="0.2">
      <c r="G661" t="str">
        <f t="shared" si="10"/>
        <v/>
      </c>
    </row>
    <row r="662" spans="7:7" x14ac:dyDescent="0.2">
      <c r="G662" t="str">
        <f t="shared" si="10"/>
        <v/>
      </c>
    </row>
    <row r="663" spans="7:7" x14ac:dyDescent="0.2">
      <c r="G663" t="str">
        <f t="shared" si="10"/>
        <v/>
      </c>
    </row>
    <row r="664" spans="7:7" x14ac:dyDescent="0.2">
      <c r="G664" t="str">
        <f t="shared" si="10"/>
        <v/>
      </c>
    </row>
    <row r="665" spans="7:7" x14ac:dyDescent="0.2">
      <c r="G665" t="str">
        <f t="shared" si="10"/>
        <v/>
      </c>
    </row>
    <row r="666" spans="7:7" x14ac:dyDescent="0.2">
      <c r="G666" t="str">
        <f t="shared" si="10"/>
        <v/>
      </c>
    </row>
    <row r="667" spans="7:7" x14ac:dyDescent="0.2">
      <c r="G667" t="str">
        <f t="shared" si="10"/>
        <v/>
      </c>
    </row>
    <row r="668" spans="7:7" x14ac:dyDescent="0.2">
      <c r="G668" t="str">
        <f t="shared" si="10"/>
        <v/>
      </c>
    </row>
    <row r="669" spans="7:7" x14ac:dyDescent="0.2">
      <c r="G669" t="str">
        <f t="shared" si="10"/>
        <v/>
      </c>
    </row>
    <row r="670" spans="7:7" x14ac:dyDescent="0.2">
      <c r="G670" t="str">
        <f t="shared" si="10"/>
        <v/>
      </c>
    </row>
    <row r="671" spans="7:7" x14ac:dyDescent="0.2">
      <c r="G671" t="str">
        <f t="shared" si="10"/>
        <v/>
      </c>
    </row>
    <row r="672" spans="7:7" x14ac:dyDescent="0.2">
      <c r="G672" t="str">
        <f t="shared" si="10"/>
        <v/>
      </c>
    </row>
    <row r="673" spans="7:7" x14ac:dyDescent="0.2">
      <c r="G673" t="str">
        <f t="shared" si="10"/>
        <v/>
      </c>
    </row>
    <row r="674" spans="7:7" x14ac:dyDescent="0.2">
      <c r="G674" t="str">
        <f t="shared" si="10"/>
        <v/>
      </c>
    </row>
    <row r="675" spans="7:7" x14ac:dyDescent="0.2">
      <c r="G675" t="str">
        <f t="shared" si="10"/>
        <v/>
      </c>
    </row>
    <row r="676" spans="7:7" x14ac:dyDescent="0.2">
      <c r="G676" t="str">
        <f t="shared" si="10"/>
        <v/>
      </c>
    </row>
    <row r="677" spans="7:7" x14ac:dyDescent="0.2">
      <c r="G677" t="str">
        <f t="shared" si="10"/>
        <v/>
      </c>
    </row>
    <row r="678" spans="7:7" x14ac:dyDescent="0.2">
      <c r="G678" t="str">
        <f t="shared" si="10"/>
        <v/>
      </c>
    </row>
    <row r="679" spans="7:7" x14ac:dyDescent="0.2">
      <c r="G679" t="str">
        <f t="shared" si="10"/>
        <v/>
      </c>
    </row>
    <row r="680" spans="7:7" x14ac:dyDescent="0.2">
      <c r="G680" t="str">
        <f t="shared" si="10"/>
        <v/>
      </c>
    </row>
    <row r="681" spans="7:7" x14ac:dyDescent="0.2">
      <c r="G681" t="str">
        <f t="shared" si="10"/>
        <v/>
      </c>
    </row>
    <row r="682" spans="7:7" x14ac:dyDescent="0.2">
      <c r="G682" t="str">
        <f t="shared" si="10"/>
        <v/>
      </c>
    </row>
    <row r="683" spans="7:7" x14ac:dyDescent="0.2">
      <c r="G683" t="str">
        <f t="shared" si="10"/>
        <v/>
      </c>
    </row>
    <row r="684" spans="7:7" x14ac:dyDescent="0.2">
      <c r="G684" t="str">
        <f t="shared" si="10"/>
        <v/>
      </c>
    </row>
    <row r="685" spans="7:7" x14ac:dyDescent="0.2">
      <c r="G685" t="str">
        <f t="shared" si="10"/>
        <v/>
      </c>
    </row>
    <row r="686" spans="7:7" x14ac:dyDescent="0.2">
      <c r="G686" t="str">
        <f t="shared" si="10"/>
        <v/>
      </c>
    </row>
    <row r="687" spans="7:7" x14ac:dyDescent="0.2">
      <c r="G687" t="str">
        <f t="shared" si="10"/>
        <v/>
      </c>
    </row>
    <row r="688" spans="7:7" x14ac:dyDescent="0.2">
      <c r="G688" t="str">
        <f t="shared" si="10"/>
        <v/>
      </c>
    </row>
    <row r="689" spans="7:7" x14ac:dyDescent="0.2">
      <c r="G689" t="str">
        <f t="shared" si="10"/>
        <v/>
      </c>
    </row>
    <row r="690" spans="7:7" x14ac:dyDescent="0.2">
      <c r="G690" t="str">
        <f t="shared" si="10"/>
        <v/>
      </c>
    </row>
    <row r="691" spans="7:7" x14ac:dyDescent="0.2">
      <c r="G691" t="str">
        <f t="shared" si="10"/>
        <v/>
      </c>
    </row>
    <row r="692" spans="7:7" x14ac:dyDescent="0.2">
      <c r="G692" t="str">
        <f t="shared" si="10"/>
        <v/>
      </c>
    </row>
    <row r="693" spans="7:7" x14ac:dyDescent="0.2">
      <c r="G693" t="str">
        <f t="shared" si="10"/>
        <v/>
      </c>
    </row>
    <row r="694" spans="7:7" x14ac:dyDescent="0.2">
      <c r="G694" t="str">
        <f t="shared" si="10"/>
        <v/>
      </c>
    </row>
    <row r="695" spans="7:7" x14ac:dyDescent="0.2">
      <c r="G695" t="str">
        <f t="shared" si="10"/>
        <v/>
      </c>
    </row>
    <row r="696" spans="7:7" x14ac:dyDescent="0.2">
      <c r="G696" t="str">
        <f t="shared" si="10"/>
        <v/>
      </c>
    </row>
    <row r="697" spans="7:7" x14ac:dyDescent="0.2">
      <c r="G697" t="str">
        <f t="shared" si="10"/>
        <v/>
      </c>
    </row>
    <row r="698" spans="7:7" x14ac:dyDescent="0.2">
      <c r="G698" t="str">
        <f t="shared" si="10"/>
        <v/>
      </c>
    </row>
    <row r="699" spans="7:7" x14ac:dyDescent="0.2">
      <c r="G699" t="str">
        <f t="shared" si="10"/>
        <v/>
      </c>
    </row>
    <row r="700" spans="7:7" x14ac:dyDescent="0.2">
      <c r="G700" t="str">
        <f t="shared" si="10"/>
        <v/>
      </c>
    </row>
    <row r="701" spans="7:7" x14ac:dyDescent="0.2">
      <c r="G701" t="str">
        <f t="shared" si="10"/>
        <v/>
      </c>
    </row>
    <row r="702" spans="7:7" x14ac:dyDescent="0.2">
      <c r="G702" t="str">
        <f t="shared" si="10"/>
        <v/>
      </c>
    </row>
    <row r="703" spans="7:7" x14ac:dyDescent="0.2">
      <c r="G703" t="str">
        <f t="shared" si="10"/>
        <v/>
      </c>
    </row>
    <row r="704" spans="7:7" x14ac:dyDescent="0.2">
      <c r="G704" t="str">
        <f t="shared" si="10"/>
        <v/>
      </c>
    </row>
    <row r="705" spans="7:7" x14ac:dyDescent="0.2">
      <c r="G705" t="str">
        <f t="shared" si="10"/>
        <v/>
      </c>
    </row>
    <row r="706" spans="7:7" x14ac:dyDescent="0.2">
      <c r="G706" t="str">
        <f t="shared" ref="G706:G769" si="11">IF(E706="","",E706*F706)</f>
        <v/>
      </c>
    </row>
    <row r="707" spans="7:7" x14ac:dyDescent="0.2">
      <c r="G707" t="str">
        <f t="shared" si="11"/>
        <v/>
      </c>
    </row>
    <row r="708" spans="7:7" x14ac:dyDescent="0.2">
      <c r="G708" t="str">
        <f t="shared" si="11"/>
        <v/>
      </c>
    </row>
    <row r="709" spans="7:7" x14ac:dyDescent="0.2">
      <c r="G709" t="str">
        <f t="shared" si="11"/>
        <v/>
      </c>
    </row>
    <row r="710" spans="7:7" x14ac:dyDescent="0.2">
      <c r="G710" t="str">
        <f t="shared" si="11"/>
        <v/>
      </c>
    </row>
    <row r="711" spans="7:7" x14ac:dyDescent="0.2">
      <c r="G711" t="str">
        <f t="shared" si="11"/>
        <v/>
      </c>
    </row>
    <row r="712" spans="7:7" x14ac:dyDescent="0.2">
      <c r="G712" t="str">
        <f t="shared" si="11"/>
        <v/>
      </c>
    </row>
    <row r="713" spans="7:7" x14ac:dyDescent="0.2">
      <c r="G713" t="str">
        <f t="shared" si="11"/>
        <v/>
      </c>
    </row>
    <row r="714" spans="7:7" x14ac:dyDescent="0.2">
      <c r="G714" t="str">
        <f t="shared" si="11"/>
        <v/>
      </c>
    </row>
    <row r="715" spans="7:7" x14ac:dyDescent="0.2">
      <c r="G715" t="str">
        <f t="shared" si="11"/>
        <v/>
      </c>
    </row>
    <row r="716" spans="7:7" x14ac:dyDescent="0.2">
      <c r="G716" t="str">
        <f t="shared" si="11"/>
        <v/>
      </c>
    </row>
    <row r="717" spans="7:7" x14ac:dyDescent="0.2">
      <c r="G717" t="str">
        <f t="shared" si="11"/>
        <v/>
      </c>
    </row>
    <row r="718" spans="7:7" x14ac:dyDescent="0.2">
      <c r="G718" t="str">
        <f t="shared" si="11"/>
        <v/>
      </c>
    </row>
    <row r="719" spans="7:7" x14ac:dyDescent="0.2">
      <c r="G719" t="str">
        <f t="shared" si="11"/>
        <v/>
      </c>
    </row>
    <row r="720" spans="7:7" x14ac:dyDescent="0.2">
      <c r="G720" t="str">
        <f t="shared" si="11"/>
        <v/>
      </c>
    </row>
    <row r="721" spans="7:7" x14ac:dyDescent="0.2">
      <c r="G721" t="str">
        <f t="shared" si="11"/>
        <v/>
      </c>
    </row>
    <row r="722" spans="7:7" x14ac:dyDescent="0.2">
      <c r="G722" t="str">
        <f t="shared" si="11"/>
        <v/>
      </c>
    </row>
    <row r="723" spans="7:7" x14ac:dyDescent="0.2">
      <c r="G723" t="str">
        <f t="shared" si="11"/>
        <v/>
      </c>
    </row>
    <row r="724" spans="7:7" x14ac:dyDescent="0.2">
      <c r="G724" t="str">
        <f t="shared" si="11"/>
        <v/>
      </c>
    </row>
    <row r="725" spans="7:7" x14ac:dyDescent="0.2">
      <c r="G725" t="str">
        <f t="shared" si="11"/>
        <v/>
      </c>
    </row>
    <row r="726" spans="7:7" x14ac:dyDescent="0.2">
      <c r="G726" t="str">
        <f t="shared" si="11"/>
        <v/>
      </c>
    </row>
    <row r="727" spans="7:7" x14ac:dyDescent="0.2">
      <c r="G727" t="str">
        <f t="shared" si="11"/>
        <v/>
      </c>
    </row>
    <row r="728" spans="7:7" x14ac:dyDescent="0.2">
      <c r="G728" t="str">
        <f t="shared" si="11"/>
        <v/>
      </c>
    </row>
    <row r="729" spans="7:7" x14ac:dyDescent="0.2">
      <c r="G729" t="str">
        <f t="shared" si="11"/>
        <v/>
      </c>
    </row>
    <row r="730" spans="7:7" x14ac:dyDescent="0.2">
      <c r="G730" t="str">
        <f t="shared" si="11"/>
        <v/>
      </c>
    </row>
    <row r="731" spans="7:7" x14ac:dyDescent="0.2">
      <c r="G731" t="str">
        <f t="shared" si="11"/>
        <v/>
      </c>
    </row>
    <row r="732" spans="7:7" x14ac:dyDescent="0.2">
      <c r="G732" t="str">
        <f t="shared" si="11"/>
        <v/>
      </c>
    </row>
    <row r="733" spans="7:7" x14ac:dyDescent="0.2">
      <c r="G733" t="str">
        <f t="shared" si="11"/>
        <v/>
      </c>
    </row>
    <row r="734" spans="7:7" x14ac:dyDescent="0.2">
      <c r="G734" t="str">
        <f t="shared" si="11"/>
        <v/>
      </c>
    </row>
    <row r="735" spans="7:7" x14ac:dyDescent="0.2">
      <c r="G735" t="str">
        <f t="shared" si="11"/>
        <v/>
      </c>
    </row>
    <row r="736" spans="7:7" x14ac:dyDescent="0.2">
      <c r="G736" t="str">
        <f t="shared" si="11"/>
        <v/>
      </c>
    </row>
    <row r="737" spans="7:7" x14ac:dyDescent="0.2">
      <c r="G737" t="str">
        <f t="shared" si="11"/>
        <v/>
      </c>
    </row>
    <row r="738" spans="7:7" x14ac:dyDescent="0.2">
      <c r="G738" t="str">
        <f t="shared" si="11"/>
        <v/>
      </c>
    </row>
    <row r="739" spans="7:7" x14ac:dyDescent="0.2">
      <c r="G739" t="str">
        <f t="shared" si="11"/>
        <v/>
      </c>
    </row>
    <row r="740" spans="7:7" x14ac:dyDescent="0.2">
      <c r="G740" t="str">
        <f t="shared" si="11"/>
        <v/>
      </c>
    </row>
    <row r="741" spans="7:7" x14ac:dyDescent="0.2">
      <c r="G741" t="str">
        <f t="shared" si="11"/>
        <v/>
      </c>
    </row>
    <row r="742" spans="7:7" x14ac:dyDescent="0.2">
      <c r="G742" t="str">
        <f t="shared" si="11"/>
        <v/>
      </c>
    </row>
    <row r="743" spans="7:7" x14ac:dyDescent="0.2">
      <c r="G743" t="str">
        <f t="shared" si="11"/>
        <v/>
      </c>
    </row>
    <row r="744" spans="7:7" x14ac:dyDescent="0.2">
      <c r="G744" t="str">
        <f t="shared" si="11"/>
        <v/>
      </c>
    </row>
    <row r="745" spans="7:7" x14ac:dyDescent="0.2">
      <c r="G745" t="str">
        <f t="shared" si="11"/>
        <v/>
      </c>
    </row>
    <row r="746" spans="7:7" x14ac:dyDescent="0.2">
      <c r="G746" t="str">
        <f t="shared" si="11"/>
        <v/>
      </c>
    </row>
    <row r="747" spans="7:7" x14ac:dyDescent="0.2">
      <c r="G747" t="str">
        <f t="shared" si="11"/>
        <v/>
      </c>
    </row>
    <row r="748" spans="7:7" x14ac:dyDescent="0.2">
      <c r="G748" t="str">
        <f t="shared" si="11"/>
        <v/>
      </c>
    </row>
    <row r="749" spans="7:7" x14ac:dyDescent="0.2">
      <c r="G749" t="str">
        <f t="shared" si="11"/>
        <v/>
      </c>
    </row>
    <row r="750" spans="7:7" x14ac:dyDescent="0.2">
      <c r="G750" t="str">
        <f t="shared" si="11"/>
        <v/>
      </c>
    </row>
    <row r="751" spans="7:7" x14ac:dyDescent="0.2">
      <c r="G751" t="str">
        <f t="shared" si="11"/>
        <v/>
      </c>
    </row>
    <row r="752" spans="7:7" x14ac:dyDescent="0.2">
      <c r="G752" t="str">
        <f t="shared" si="11"/>
        <v/>
      </c>
    </row>
    <row r="753" spans="7:7" x14ac:dyDescent="0.2">
      <c r="G753" t="str">
        <f t="shared" si="11"/>
        <v/>
      </c>
    </row>
    <row r="754" spans="7:7" x14ac:dyDescent="0.2">
      <c r="G754" t="str">
        <f t="shared" si="11"/>
        <v/>
      </c>
    </row>
    <row r="755" spans="7:7" x14ac:dyDescent="0.2">
      <c r="G755" t="str">
        <f t="shared" si="11"/>
        <v/>
      </c>
    </row>
    <row r="756" spans="7:7" x14ac:dyDescent="0.2">
      <c r="G756" t="str">
        <f t="shared" si="11"/>
        <v/>
      </c>
    </row>
    <row r="757" spans="7:7" x14ac:dyDescent="0.2">
      <c r="G757" t="str">
        <f t="shared" si="11"/>
        <v/>
      </c>
    </row>
    <row r="758" spans="7:7" x14ac:dyDescent="0.2">
      <c r="G758" t="str">
        <f t="shared" si="11"/>
        <v/>
      </c>
    </row>
    <row r="759" spans="7:7" x14ac:dyDescent="0.2">
      <c r="G759" t="str">
        <f t="shared" si="11"/>
        <v/>
      </c>
    </row>
    <row r="760" spans="7:7" x14ac:dyDescent="0.2">
      <c r="G760" t="str">
        <f t="shared" si="11"/>
        <v/>
      </c>
    </row>
    <row r="761" spans="7:7" x14ac:dyDescent="0.2">
      <c r="G761" t="str">
        <f t="shared" si="11"/>
        <v/>
      </c>
    </row>
    <row r="762" spans="7:7" x14ac:dyDescent="0.2">
      <c r="G762" t="str">
        <f t="shared" si="11"/>
        <v/>
      </c>
    </row>
    <row r="763" spans="7:7" x14ac:dyDescent="0.2">
      <c r="G763" t="str">
        <f t="shared" si="11"/>
        <v/>
      </c>
    </row>
    <row r="764" spans="7:7" x14ac:dyDescent="0.2">
      <c r="G764" t="str">
        <f t="shared" si="11"/>
        <v/>
      </c>
    </row>
    <row r="765" spans="7:7" x14ac:dyDescent="0.2">
      <c r="G765" t="str">
        <f t="shared" si="11"/>
        <v/>
      </c>
    </row>
    <row r="766" spans="7:7" x14ac:dyDescent="0.2">
      <c r="G766" t="str">
        <f t="shared" si="11"/>
        <v/>
      </c>
    </row>
    <row r="767" spans="7:7" x14ac:dyDescent="0.2">
      <c r="G767" t="str">
        <f t="shared" si="11"/>
        <v/>
      </c>
    </row>
    <row r="768" spans="7:7" x14ac:dyDescent="0.2">
      <c r="G768" t="str">
        <f t="shared" si="11"/>
        <v/>
      </c>
    </row>
    <row r="769" spans="7:7" x14ac:dyDescent="0.2">
      <c r="G769" t="str">
        <f t="shared" si="11"/>
        <v/>
      </c>
    </row>
    <row r="770" spans="7:7" x14ac:dyDescent="0.2">
      <c r="G770" t="str">
        <f t="shared" ref="G770:G833" si="12">IF(E770="","",E770*F770)</f>
        <v/>
      </c>
    </row>
    <row r="771" spans="7:7" x14ac:dyDescent="0.2">
      <c r="G771" t="str">
        <f t="shared" si="12"/>
        <v/>
      </c>
    </row>
    <row r="772" spans="7:7" x14ac:dyDescent="0.2">
      <c r="G772" t="str">
        <f t="shared" si="12"/>
        <v/>
      </c>
    </row>
    <row r="773" spans="7:7" x14ac:dyDescent="0.2">
      <c r="G773" t="str">
        <f t="shared" si="12"/>
        <v/>
      </c>
    </row>
    <row r="774" spans="7:7" x14ac:dyDescent="0.2">
      <c r="G774" t="str">
        <f t="shared" si="12"/>
        <v/>
      </c>
    </row>
    <row r="775" spans="7:7" x14ac:dyDescent="0.2">
      <c r="G775" t="str">
        <f t="shared" si="12"/>
        <v/>
      </c>
    </row>
    <row r="776" spans="7:7" x14ac:dyDescent="0.2">
      <c r="G776" t="str">
        <f t="shared" si="12"/>
        <v/>
      </c>
    </row>
    <row r="777" spans="7:7" x14ac:dyDescent="0.2">
      <c r="G777" t="str">
        <f t="shared" si="12"/>
        <v/>
      </c>
    </row>
    <row r="778" spans="7:7" x14ac:dyDescent="0.2">
      <c r="G778" t="str">
        <f t="shared" si="12"/>
        <v/>
      </c>
    </row>
    <row r="779" spans="7:7" x14ac:dyDescent="0.2">
      <c r="G779" t="str">
        <f t="shared" si="12"/>
        <v/>
      </c>
    </row>
    <row r="780" spans="7:7" x14ac:dyDescent="0.2">
      <c r="G780" t="str">
        <f t="shared" si="12"/>
        <v/>
      </c>
    </row>
    <row r="781" spans="7:7" x14ac:dyDescent="0.2">
      <c r="G781" t="str">
        <f t="shared" si="12"/>
        <v/>
      </c>
    </row>
    <row r="782" spans="7:7" x14ac:dyDescent="0.2">
      <c r="G782" t="str">
        <f t="shared" si="12"/>
        <v/>
      </c>
    </row>
    <row r="783" spans="7:7" x14ac:dyDescent="0.2">
      <c r="G783" t="str">
        <f t="shared" si="12"/>
        <v/>
      </c>
    </row>
    <row r="784" spans="7:7" x14ac:dyDescent="0.2">
      <c r="G784" t="str">
        <f t="shared" si="12"/>
        <v/>
      </c>
    </row>
    <row r="785" spans="7:7" x14ac:dyDescent="0.2">
      <c r="G785" t="str">
        <f t="shared" si="12"/>
        <v/>
      </c>
    </row>
    <row r="786" spans="7:7" x14ac:dyDescent="0.2">
      <c r="G786" t="str">
        <f t="shared" si="12"/>
        <v/>
      </c>
    </row>
    <row r="787" spans="7:7" x14ac:dyDescent="0.2">
      <c r="G787" t="str">
        <f t="shared" si="12"/>
        <v/>
      </c>
    </row>
    <row r="788" spans="7:7" x14ac:dyDescent="0.2">
      <c r="G788" t="str">
        <f t="shared" si="12"/>
        <v/>
      </c>
    </row>
    <row r="789" spans="7:7" x14ac:dyDescent="0.2">
      <c r="G789" t="str">
        <f t="shared" si="12"/>
        <v/>
      </c>
    </row>
    <row r="790" spans="7:7" x14ac:dyDescent="0.2">
      <c r="G790" t="str">
        <f t="shared" si="12"/>
        <v/>
      </c>
    </row>
    <row r="791" spans="7:7" x14ac:dyDescent="0.2">
      <c r="G791" t="str">
        <f t="shared" si="12"/>
        <v/>
      </c>
    </row>
    <row r="792" spans="7:7" x14ac:dyDescent="0.2">
      <c r="G792" t="str">
        <f t="shared" si="12"/>
        <v/>
      </c>
    </row>
    <row r="793" spans="7:7" x14ac:dyDescent="0.2">
      <c r="G793" t="str">
        <f t="shared" si="12"/>
        <v/>
      </c>
    </row>
    <row r="794" spans="7:7" x14ac:dyDescent="0.2">
      <c r="G794" t="str">
        <f t="shared" si="12"/>
        <v/>
      </c>
    </row>
    <row r="795" spans="7:7" x14ac:dyDescent="0.2">
      <c r="G795" t="str">
        <f t="shared" si="12"/>
        <v/>
      </c>
    </row>
    <row r="796" spans="7:7" x14ac:dyDescent="0.2">
      <c r="G796" t="str">
        <f t="shared" si="12"/>
        <v/>
      </c>
    </row>
    <row r="797" spans="7:7" x14ac:dyDescent="0.2">
      <c r="G797" t="str">
        <f t="shared" si="12"/>
        <v/>
      </c>
    </row>
    <row r="798" spans="7:7" x14ac:dyDescent="0.2">
      <c r="G798" t="str">
        <f t="shared" si="12"/>
        <v/>
      </c>
    </row>
    <row r="799" spans="7:7" x14ac:dyDescent="0.2">
      <c r="G799" t="str">
        <f t="shared" si="12"/>
        <v/>
      </c>
    </row>
    <row r="800" spans="7:7" x14ac:dyDescent="0.2">
      <c r="G800" t="str">
        <f t="shared" si="12"/>
        <v/>
      </c>
    </row>
    <row r="801" spans="7:7" x14ac:dyDescent="0.2">
      <c r="G801" t="str">
        <f t="shared" si="12"/>
        <v/>
      </c>
    </row>
    <row r="802" spans="7:7" x14ac:dyDescent="0.2">
      <c r="G802" t="str">
        <f t="shared" si="12"/>
        <v/>
      </c>
    </row>
    <row r="803" spans="7:7" x14ac:dyDescent="0.2">
      <c r="G803" t="str">
        <f t="shared" si="12"/>
        <v/>
      </c>
    </row>
    <row r="804" spans="7:7" x14ac:dyDescent="0.2">
      <c r="G804" t="str">
        <f t="shared" si="12"/>
        <v/>
      </c>
    </row>
    <row r="805" spans="7:7" x14ac:dyDescent="0.2">
      <c r="G805" t="str">
        <f t="shared" si="12"/>
        <v/>
      </c>
    </row>
    <row r="806" spans="7:7" x14ac:dyDescent="0.2">
      <c r="G806" t="str">
        <f t="shared" si="12"/>
        <v/>
      </c>
    </row>
    <row r="807" spans="7:7" x14ac:dyDescent="0.2">
      <c r="G807" t="str">
        <f t="shared" si="12"/>
        <v/>
      </c>
    </row>
    <row r="808" spans="7:7" x14ac:dyDescent="0.2">
      <c r="G808" t="str">
        <f t="shared" si="12"/>
        <v/>
      </c>
    </row>
    <row r="809" spans="7:7" x14ac:dyDescent="0.2">
      <c r="G809" t="str">
        <f t="shared" si="12"/>
        <v/>
      </c>
    </row>
    <row r="810" spans="7:7" x14ac:dyDescent="0.2">
      <c r="G810" t="str">
        <f t="shared" si="12"/>
        <v/>
      </c>
    </row>
    <row r="811" spans="7:7" x14ac:dyDescent="0.2">
      <c r="G811" t="str">
        <f t="shared" si="12"/>
        <v/>
      </c>
    </row>
    <row r="812" spans="7:7" x14ac:dyDescent="0.2">
      <c r="G812" t="str">
        <f t="shared" si="12"/>
        <v/>
      </c>
    </row>
    <row r="813" spans="7:7" x14ac:dyDescent="0.2">
      <c r="G813" t="str">
        <f t="shared" si="12"/>
        <v/>
      </c>
    </row>
    <row r="814" spans="7:7" x14ac:dyDescent="0.2">
      <c r="G814" t="str">
        <f t="shared" si="12"/>
        <v/>
      </c>
    </row>
    <row r="815" spans="7:7" x14ac:dyDescent="0.2">
      <c r="G815" t="str">
        <f t="shared" si="12"/>
        <v/>
      </c>
    </row>
    <row r="816" spans="7:7" x14ac:dyDescent="0.2">
      <c r="G816" t="str">
        <f t="shared" si="12"/>
        <v/>
      </c>
    </row>
    <row r="817" spans="7:7" x14ac:dyDescent="0.2">
      <c r="G817" t="str">
        <f t="shared" si="12"/>
        <v/>
      </c>
    </row>
    <row r="818" spans="7:7" x14ac:dyDescent="0.2">
      <c r="G818" t="str">
        <f t="shared" si="12"/>
        <v/>
      </c>
    </row>
    <row r="819" spans="7:7" x14ac:dyDescent="0.2">
      <c r="G819" t="str">
        <f t="shared" si="12"/>
        <v/>
      </c>
    </row>
    <row r="820" spans="7:7" x14ac:dyDescent="0.2">
      <c r="G820" t="str">
        <f t="shared" si="12"/>
        <v/>
      </c>
    </row>
    <row r="821" spans="7:7" x14ac:dyDescent="0.2">
      <c r="G821" t="str">
        <f t="shared" si="12"/>
        <v/>
      </c>
    </row>
    <row r="822" spans="7:7" x14ac:dyDescent="0.2">
      <c r="G822" t="str">
        <f t="shared" si="12"/>
        <v/>
      </c>
    </row>
    <row r="823" spans="7:7" x14ac:dyDescent="0.2">
      <c r="G823" t="str">
        <f t="shared" si="12"/>
        <v/>
      </c>
    </row>
    <row r="824" spans="7:7" x14ac:dyDescent="0.2">
      <c r="G824" t="str">
        <f t="shared" si="12"/>
        <v/>
      </c>
    </row>
    <row r="825" spans="7:7" x14ac:dyDescent="0.2">
      <c r="G825" t="str">
        <f t="shared" si="12"/>
        <v/>
      </c>
    </row>
    <row r="826" spans="7:7" x14ac:dyDescent="0.2">
      <c r="G826" t="str">
        <f t="shared" si="12"/>
        <v/>
      </c>
    </row>
    <row r="827" spans="7:7" x14ac:dyDescent="0.2">
      <c r="G827" t="str">
        <f t="shared" si="12"/>
        <v/>
      </c>
    </row>
    <row r="828" spans="7:7" x14ac:dyDescent="0.2">
      <c r="G828" t="str">
        <f t="shared" si="12"/>
        <v/>
      </c>
    </row>
    <row r="829" spans="7:7" x14ac:dyDescent="0.2">
      <c r="G829" t="str">
        <f t="shared" si="12"/>
        <v/>
      </c>
    </row>
    <row r="830" spans="7:7" x14ac:dyDescent="0.2">
      <c r="G830" t="str">
        <f t="shared" si="12"/>
        <v/>
      </c>
    </row>
    <row r="831" spans="7:7" x14ac:dyDescent="0.2">
      <c r="G831" t="str">
        <f t="shared" si="12"/>
        <v/>
      </c>
    </row>
    <row r="832" spans="7:7" x14ac:dyDescent="0.2">
      <c r="G832" t="str">
        <f t="shared" si="12"/>
        <v/>
      </c>
    </row>
    <row r="833" spans="7:7" x14ac:dyDescent="0.2">
      <c r="G833" t="str">
        <f t="shared" si="12"/>
        <v/>
      </c>
    </row>
    <row r="834" spans="7:7" x14ac:dyDescent="0.2">
      <c r="G834" t="str">
        <f t="shared" ref="G834:G897" si="13">IF(E834="","",E834*F834)</f>
        <v/>
      </c>
    </row>
    <row r="835" spans="7:7" x14ac:dyDescent="0.2">
      <c r="G835" t="str">
        <f t="shared" si="13"/>
        <v/>
      </c>
    </row>
    <row r="836" spans="7:7" x14ac:dyDescent="0.2">
      <c r="G836" t="str">
        <f t="shared" si="13"/>
        <v/>
      </c>
    </row>
    <row r="837" spans="7:7" x14ac:dyDescent="0.2">
      <c r="G837" t="str">
        <f t="shared" si="13"/>
        <v/>
      </c>
    </row>
    <row r="838" spans="7:7" x14ac:dyDescent="0.2">
      <c r="G838" t="str">
        <f t="shared" si="13"/>
        <v/>
      </c>
    </row>
    <row r="839" spans="7:7" x14ac:dyDescent="0.2">
      <c r="G839" t="str">
        <f t="shared" si="13"/>
        <v/>
      </c>
    </row>
    <row r="840" spans="7:7" x14ac:dyDescent="0.2">
      <c r="G840" t="str">
        <f t="shared" si="13"/>
        <v/>
      </c>
    </row>
    <row r="841" spans="7:7" x14ac:dyDescent="0.2">
      <c r="G841" t="str">
        <f t="shared" si="13"/>
        <v/>
      </c>
    </row>
    <row r="842" spans="7:7" x14ac:dyDescent="0.2">
      <c r="G842" t="str">
        <f t="shared" si="13"/>
        <v/>
      </c>
    </row>
    <row r="843" spans="7:7" x14ac:dyDescent="0.2">
      <c r="G843" t="str">
        <f t="shared" si="13"/>
        <v/>
      </c>
    </row>
    <row r="844" spans="7:7" x14ac:dyDescent="0.2">
      <c r="G844" t="str">
        <f t="shared" si="13"/>
        <v/>
      </c>
    </row>
    <row r="845" spans="7:7" x14ac:dyDescent="0.2">
      <c r="G845" t="str">
        <f t="shared" si="13"/>
        <v/>
      </c>
    </row>
    <row r="846" spans="7:7" x14ac:dyDescent="0.2">
      <c r="G846" t="str">
        <f t="shared" si="13"/>
        <v/>
      </c>
    </row>
    <row r="847" spans="7:7" x14ac:dyDescent="0.2">
      <c r="G847" t="str">
        <f t="shared" si="13"/>
        <v/>
      </c>
    </row>
    <row r="848" spans="7:7" x14ac:dyDescent="0.2">
      <c r="G848" t="str">
        <f t="shared" si="13"/>
        <v/>
      </c>
    </row>
    <row r="849" spans="7:7" x14ac:dyDescent="0.2">
      <c r="G849" t="str">
        <f t="shared" si="13"/>
        <v/>
      </c>
    </row>
    <row r="850" spans="7:7" x14ac:dyDescent="0.2">
      <c r="G850" t="str">
        <f t="shared" si="13"/>
        <v/>
      </c>
    </row>
    <row r="851" spans="7:7" x14ac:dyDescent="0.2">
      <c r="G851" t="str">
        <f t="shared" si="13"/>
        <v/>
      </c>
    </row>
    <row r="852" spans="7:7" x14ac:dyDescent="0.2">
      <c r="G852" t="str">
        <f t="shared" si="13"/>
        <v/>
      </c>
    </row>
    <row r="853" spans="7:7" x14ac:dyDescent="0.2">
      <c r="G853" t="str">
        <f t="shared" si="13"/>
        <v/>
      </c>
    </row>
    <row r="854" spans="7:7" x14ac:dyDescent="0.2">
      <c r="G854" t="str">
        <f t="shared" si="13"/>
        <v/>
      </c>
    </row>
    <row r="855" spans="7:7" x14ac:dyDescent="0.2">
      <c r="G855" t="str">
        <f t="shared" si="13"/>
        <v/>
      </c>
    </row>
    <row r="856" spans="7:7" x14ac:dyDescent="0.2">
      <c r="G856" t="str">
        <f t="shared" si="13"/>
        <v/>
      </c>
    </row>
    <row r="857" spans="7:7" x14ac:dyDescent="0.2">
      <c r="G857" t="str">
        <f t="shared" si="13"/>
        <v/>
      </c>
    </row>
    <row r="858" spans="7:7" x14ac:dyDescent="0.2">
      <c r="G858" t="str">
        <f t="shared" si="13"/>
        <v/>
      </c>
    </row>
    <row r="859" spans="7:7" x14ac:dyDescent="0.2">
      <c r="G859" t="str">
        <f t="shared" si="13"/>
        <v/>
      </c>
    </row>
    <row r="860" spans="7:7" x14ac:dyDescent="0.2">
      <c r="G860" t="str">
        <f t="shared" si="13"/>
        <v/>
      </c>
    </row>
    <row r="861" spans="7:7" x14ac:dyDescent="0.2">
      <c r="G861" t="str">
        <f t="shared" si="13"/>
        <v/>
      </c>
    </row>
    <row r="862" spans="7:7" x14ac:dyDescent="0.2">
      <c r="G862" t="str">
        <f t="shared" si="13"/>
        <v/>
      </c>
    </row>
    <row r="863" spans="7:7" x14ac:dyDescent="0.2">
      <c r="G863" t="str">
        <f t="shared" si="13"/>
        <v/>
      </c>
    </row>
    <row r="864" spans="7:7" x14ac:dyDescent="0.2">
      <c r="G864" t="str">
        <f t="shared" si="13"/>
        <v/>
      </c>
    </row>
    <row r="865" spans="7:7" x14ac:dyDescent="0.2">
      <c r="G865" t="str">
        <f t="shared" si="13"/>
        <v/>
      </c>
    </row>
    <row r="866" spans="7:7" x14ac:dyDescent="0.2">
      <c r="G866" t="str">
        <f t="shared" si="13"/>
        <v/>
      </c>
    </row>
    <row r="867" spans="7:7" x14ac:dyDescent="0.2">
      <c r="G867" t="str">
        <f t="shared" si="13"/>
        <v/>
      </c>
    </row>
    <row r="868" spans="7:7" x14ac:dyDescent="0.2">
      <c r="G868" t="str">
        <f t="shared" si="13"/>
        <v/>
      </c>
    </row>
    <row r="869" spans="7:7" x14ac:dyDescent="0.2">
      <c r="G869" t="str">
        <f t="shared" si="13"/>
        <v/>
      </c>
    </row>
    <row r="870" spans="7:7" x14ac:dyDescent="0.2">
      <c r="G870" t="str">
        <f t="shared" si="13"/>
        <v/>
      </c>
    </row>
    <row r="871" spans="7:7" x14ac:dyDescent="0.2">
      <c r="G871" t="str">
        <f t="shared" si="13"/>
        <v/>
      </c>
    </row>
    <row r="872" spans="7:7" x14ac:dyDescent="0.2">
      <c r="G872" t="str">
        <f t="shared" si="13"/>
        <v/>
      </c>
    </row>
    <row r="873" spans="7:7" x14ac:dyDescent="0.2">
      <c r="G873" t="str">
        <f t="shared" si="13"/>
        <v/>
      </c>
    </row>
    <row r="874" spans="7:7" x14ac:dyDescent="0.2">
      <c r="G874" t="str">
        <f t="shared" si="13"/>
        <v/>
      </c>
    </row>
    <row r="875" spans="7:7" x14ac:dyDescent="0.2">
      <c r="G875" t="str">
        <f t="shared" si="13"/>
        <v/>
      </c>
    </row>
    <row r="876" spans="7:7" x14ac:dyDescent="0.2">
      <c r="G876" t="str">
        <f t="shared" si="13"/>
        <v/>
      </c>
    </row>
    <row r="877" spans="7:7" x14ac:dyDescent="0.2">
      <c r="G877" t="str">
        <f t="shared" si="13"/>
        <v/>
      </c>
    </row>
    <row r="878" spans="7:7" x14ac:dyDescent="0.2">
      <c r="G878" t="str">
        <f t="shared" si="13"/>
        <v/>
      </c>
    </row>
    <row r="879" spans="7:7" x14ac:dyDescent="0.2">
      <c r="G879" t="str">
        <f t="shared" si="13"/>
        <v/>
      </c>
    </row>
    <row r="880" spans="7:7" x14ac:dyDescent="0.2">
      <c r="G880" t="str">
        <f t="shared" si="13"/>
        <v/>
      </c>
    </row>
    <row r="881" spans="7:7" x14ac:dyDescent="0.2">
      <c r="G881" t="str">
        <f t="shared" si="13"/>
        <v/>
      </c>
    </row>
    <row r="882" spans="7:7" x14ac:dyDescent="0.2">
      <c r="G882" t="str">
        <f t="shared" si="13"/>
        <v/>
      </c>
    </row>
    <row r="883" spans="7:7" x14ac:dyDescent="0.2">
      <c r="G883" t="str">
        <f t="shared" si="13"/>
        <v/>
      </c>
    </row>
    <row r="884" spans="7:7" x14ac:dyDescent="0.2">
      <c r="G884" t="str">
        <f t="shared" si="13"/>
        <v/>
      </c>
    </row>
    <row r="885" spans="7:7" x14ac:dyDescent="0.2">
      <c r="G885" t="str">
        <f t="shared" si="13"/>
        <v/>
      </c>
    </row>
    <row r="886" spans="7:7" x14ac:dyDescent="0.2">
      <c r="G886" t="str">
        <f t="shared" si="13"/>
        <v/>
      </c>
    </row>
    <row r="887" spans="7:7" x14ac:dyDescent="0.2">
      <c r="G887" t="str">
        <f t="shared" si="13"/>
        <v/>
      </c>
    </row>
    <row r="888" spans="7:7" x14ac:dyDescent="0.2">
      <c r="G888" t="str">
        <f t="shared" si="13"/>
        <v/>
      </c>
    </row>
    <row r="889" spans="7:7" x14ac:dyDescent="0.2">
      <c r="G889" t="str">
        <f t="shared" si="13"/>
        <v/>
      </c>
    </row>
    <row r="890" spans="7:7" x14ac:dyDescent="0.2">
      <c r="G890" t="str">
        <f t="shared" si="13"/>
        <v/>
      </c>
    </row>
    <row r="891" spans="7:7" x14ac:dyDescent="0.2">
      <c r="G891" t="str">
        <f t="shared" si="13"/>
        <v/>
      </c>
    </row>
    <row r="892" spans="7:7" x14ac:dyDescent="0.2">
      <c r="G892" t="str">
        <f t="shared" si="13"/>
        <v/>
      </c>
    </row>
    <row r="893" spans="7:7" x14ac:dyDescent="0.2">
      <c r="G893" t="str">
        <f t="shared" si="13"/>
        <v/>
      </c>
    </row>
    <row r="894" spans="7:7" x14ac:dyDescent="0.2">
      <c r="G894" t="str">
        <f t="shared" si="13"/>
        <v/>
      </c>
    </row>
    <row r="895" spans="7:7" x14ac:dyDescent="0.2">
      <c r="G895" t="str">
        <f t="shared" si="13"/>
        <v/>
      </c>
    </row>
    <row r="896" spans="7:7" x14ac:dyDescent="0.2">
      <c r="G896" t="str">
        <f t="shared" si="13"/>
        <v/>
      </c>
    </row>
    <row r="897" spans="7:7" x14ac:dyDescent="0.2">
      <c r="G897" t="str">
        <f t="shared" si="13"/>
        <v/>
      </c>
    </row>
    <row r="898" spans="7:7" x14ac:dyDescent="0.2">
      <c r="G898" t="str">
        <f t="shared" ref="G898:G961" si="14">IF(E898="","",E898*F898)</f>
        <v/>
      </c>
    </row>
    <row r="899" spans="7:7" x14ac:dyDescent="0.2">
      <c r="G899" t="str">
        <f t="shared" si="14"/>
        <v/>
      </c>
    </row>
    <row r="900" spans="7:7" x14ac:dyDescent="0.2">
      <c r="G900" t="str">
        <f t="shared" si="14"/>
        <v/>
      </c>
    </row>
    <row r="901" spans="7:7" x14ac:dyDescent="0.2">
      <c r="G901" t="str">
        <f t="shared" si="14"/>
        <v/>
      </c>
    </row>
    <row r="902" spans="7:7" x14ac:dyDescent="0.2">
      <c r="G902" t="str">
        <f t="shared" si="14"/>
        <v/>
      </c>
    </row>
    <row r="903" spans="7:7" x14ac:dyDescent="0.2">
      <c r="G903" t="str">
        <f t="shared" si="14"/>
        <v/>
      </c>
    </row>
    <row r="904" spans="7:7" x14ac:dyDescent="0.2">
      <c r="G904" t="str">
        <f t="shared" si="14"/>
        <v/>
      </c>
    </row>
    <row r="905" spans="7:7" x14ac:dyDescent="0.2">
      <c r="G905" t="str">
        <f t="shared" si="14"/>
        <v/>
      </c>
    </row>
    <row r="906" spans="7:7" x14ac:dyDescent="0.2">
      <c r="G906" t="str">
        <f t="shared" si="14"/>
        <v/>
      </c>
    </row>
    <row r="907" spans="7:7" x14ac:dyDescent="0.2">
      <c r="G907" t="str">
        <f t="shared" si="14"/>
        <v/>
      </c>
    </row>
    <row r="908" spans="7:7" x14ac:dyDescent="0.2">
      <c r="G908" t="str">
        <f t="shared" si="14"/>
        <v/>
      </c>
    </row>
    <row r="909" spans="7:7" x14ac:dyDescent="0.2">
      <c r="G909" t="str">
        <f t="shared" si="14"/>
        <v/>
      </c>
    </row>
    <row r="910" spans="7:7" x14ac:dyDescent="0.2">
      <c r="G910" t="str">
        <f t="shared" si="14"/>
        <v/>
      </c>
    </row>
    <row r="911" spans="7:7" x14ac:dyDescent="0.2">
      <c r="G911" t="str">
        <f t="shared" si="14"/>
        <v/>
      </c>
    </row>
    <row r="912" spans="7:7" x14ac:dyDescent="0.2">
      <c r="G912" t="str">
        <f t="shared" si="14"/>
        <v/>
      </c>
    </row>
    <row r="913" spans="7:7" x14ac:dyDescent="0.2">
      <c r="G913" t="str">
        <f t="shared" si="14"/>
        <v/>
      </c>
    </row>
    <row r="914" spans="7:7" x14ac:dyDescent="0.2">
      <c r="G914" t="str">
        <f t="shared" si="14"/>
        <v/>
      </c>
    </row>
    <row r="915" spans="7:7" x14ac:dyDescent="0.2">
      <c r="G915" t="str">
        <f t="shared" si="14"/>
        <v/>
      </c>
    </row>
    <row r="916" spans="7:7" x14ac:dyDescent="0.2">
      <c r="G916" t="str">
        <f t="shared" si="14"/>
        <v/>
      </c>
    </row>
    <row r="917" spans="7:7" x14ac:dyDescent="0.2">
      <c r="G917" t="str">
        <f t="shared" si="14"/>
        <v/>
      </c>
    </row>
    <row r="918" spans="7:7" x14ac:dyDescent="0.2">
      <c r="G918" t="str">
        <f t="shared" si="14"/>
        <v/>
      </c>
    </row>
    <row r="919" spans="7:7" x14ac:dyDescent="0.2">
      <c r="G919" t="str">
        <f t="shared" si="14"/>
        <v/>
      </c>
    </row>
    <row r="920" spans="7:7" x14ac:dyDescent="0.2">
      <c r="G920" t="str">
        <f t="shared" si="14"/>
        <v/>
      </c>
    </row>
    <row r="921" spans="7:7" x14ac:dyDescent="0.2">
      <c r="G921" t="str">
        <f t="shared" si="14"/>
        <v/>
      </c>
    </row>
    <row r="922" spans="7:7" x14ac:dyDescent="0.2">
      <c r="G922" t="str">
        <f t="shared" si="14"/>
        <v/>
      </c>
    </row>
    <row r="923" spans="7:7" x14ac:dyDescent="0.2">
      <c r="G923" t="str">
        <f t="shared" si="14"/>
        <v/>
      </c>
    </row>
    <row r="924" spans="7:7" x14ac:dyDescent="0.2">
      <c r="G924" t="str">
        <f t="shared" si="14"/>
        <v/>
      </c>
    </row>
    <row r="925" spans="7:7" x14ac:dyDescent="0.2">
      <c r="G925" t="str">
        <f t="shared" si="14"/>
        <v/>
      </c>
    </row>
    <row r="926" spans="7:7" x14ac:dyDescent="0.2">
      <c r="G926" t="str">
        <f t="shared" si="14"/>
        <v/>
      </c>
    </row>
    <row r="927" spans="7:7" x14ac:dyDescent="0.2">
      <c r="G927" t="str">
        <f t="shared" si="14"/>
        <v/>
      </c>
    </row>
    <row r="928" spans="7:7" x14ac:dyDescent="0.2">
      <c r="G928" t="str">
        <f t="shared" si="14"/>
        <v/>
      </c>
    </row>
    <row r="929" spans="7:7" x14ac:dyDescent="0.2">
      <c r="G929" t="str">
        <f t="shared" si="14"/>
        <v/>
      </c>
    </row>
    <row r="930" spans="7:7" x14ac:dyDescent="0.2">
      <c r="G930" t="str">
        <f t="shared" si="14"/>
        <v/>
      </c>
    </row>
    <row r="931" spans="7:7" x14ac:dyDescent="0.2">
      <c r="G931" t="str">
        <f t="shared" si="14"/>
        <v/>
      </c>
    </row>
    <row r="932" spans="7:7" x14ac:dyDescent="0.2">
      <c r="G932" t="str">
        <f t="shared" si="14"/>
        <v/>
      </c>
    </row>
    <row r="933" spans="7:7" x14ac:dyDescent="0.2">
      <c r="G933" t="str">
        <f t="shared" si="14"/>
        <v/>
      </c>
    </row>
    <row r="934" spans="7:7" x14ac:dyDescent="0.2">
      <c r="G934" t="str">
        <f t="shared" si="14"/>
        <v/>
      </c>
    </row>
    <row r="935" spans="7:7" x14ac:dyDescent="0.2">
      <c r="G935" t="str">
        <f t="shared" si="14"/>
        <v/>
      </c>
    </row>
    <row r="936" spans="7:7" x14ac:dyDescent="0.2">
      <c r="G936" t="str">
        <f t="shared" si="14"/>
        <v/>
      </c>
    </row>
    <row r="937" spans="7:7" x14ac:dyDescent="0.2">
      <c r="G937" t="str">
        <f t="shared" si="14"/>
        <v/>
      </c>
    </row>
    <row r="938" spans="7:7" x14ac:dyDescent="0.2">
      <c r="G938" t="str">
        <f t="shared" si="14"/>
        <v/>
      </c>
    </row>
    <row r="939" spans="7:7" x14ac:dyDescent="0.2">
      <c r="G939" t="str">
        <f t="shared" si="14"/>
        <v/>
      </c>
    </row>
    <row r="940" spans="7:7" x14ac:dyDescent="0.2">
      <c r="G940" t="str">
        <f t="shared" si="14"/>
        <v/>
      </c>
    </row>
    <row r="941" spans="7:7" x14ac:dyDescent="0.2">
      <c r="G941" t="str">
        <f t="shared" si="14"/>
        <v/>
      </c>
    </row>
    <row r="942" spans="7:7" x14ac:dyDescent="0.2">
      <c r="G942" t="str">
        <f t="shared" si="14"/>
        <v/>
      </c>
    </row>
    <row r="943" spans="7:7" x14ac:dyDescent="0.2">
      <c r="G943" t="str">
        <f t="shared" si="14"/>
        <v/>
      </c>
    </row>
    <row r="944" spans="7:7" x14ac:dyDescent="0.2">
      <c r="G944" t="str">
        <f t="shared" si="14"/>
        <v/>
      </c>
    </row>
    <row r="945" spans="7:7" x14ac:dyDescent="0.2">
      <c r="G945" t="str">
        <f t="shared" si="14"/>
        <v/>
      </c>
    </row>
    <row r="946" spans="7:7" x14ac:dyDescent="0.2">
      <c r="G946" t="str">
        <f t="shared" si="14"/>
        <v/>
      </c>
    </row>
    <row r="947" spans="7:7" x14ac:dyDescent="0.2">
      <c r="G947" t="str">
        <f t="shared" si="14"/>
        <v/>
      </c>
    </row>
    <row r="948" spans="7:7" x14ac:dyDescent="0.2">
      <c r="G948" t="str">
        <f t="shared" si="14"/>
        <v/>
      </c>
    </row>
    <row r="949" spans="7:7" x14ac:dyDescent="0.2">
      <c r="G949" t="str">
        <f t="shared" si="14"/>
        <v/>
      </c>
    </row>
    <row r="950" spans="7:7" x14ac:dyDescent="0.2">
      <c r="G950" t="str">
        <f t="shared" si="14"/>
        <v/>
      </c>
    </row>
    <row r="951" spans="7:7" x14ac:dyDescent="0.2">
      <c r="G951" t="str">
        <f t="shared" si="14"/>
        <v/>
      </c>
    </row>
    <row r="952" spans="7:7" x14ac:dyDescent="0.2">
      <c r="G952" t="str">
        <f t="shared" si="14"/>
        <v/>
      </c>
    </row>
    <row r="953" spans="7:7" x14ac:dyDescent="0.2">
      <c r="G953" t="str">
        <f t="shared" si="14"/>
        <v/>
      </c>
    </row>
    <row r="954" spans="7:7" x14ac:dyDescent="0.2">
      <c r="G954" t="str">
        <f t="shared" si="14"/>
        <v/>
      </c>
    </row>
    <row r="955" spans="7:7" x14ac:dyDescent="0.2">
      <c r="G955" t="str">
        <f t="shared" si="14"/>
        <v/>
      </c>
    </row>
    <row r="956" spans="7:7" x14ac:dyDescent="0.2">
      <c r="G956" t="str">
        <f t="shared" si="14"/>
        <v/>
      </c>
    </row>
    <row r="957" spans="7:7" x14ac:dyDescent="0.2">
      <c r="G957" t="str">
        <f t="shared" si="14"/>
        <v/>
      </c>
    </row>
    <row r="958" spans="7:7" x14ac:dyDescent="0.2">
      <c r="G958" t="str">
        <f t="shared" si="14"/>
        <v/>
      </c>
    </row>
    <row r="959" spans="7:7" x14ac:dyDescent="0.2">
      <c r="G959" t="str">
        <f t="shared" si="14"/>
        <v/>
      </c>
    </row>
    <row r="960" spans="7:7" x14ac:dyDescent="0.2">
      <c r="G960" t="str">
        <f t="shared" si="14"/>
        <v/>
      </c>
    </row>
    <row r="961" spans="7:7" x14ac:dyDescent="0.2">
      <c r="G961" t="str">
        <f t="shared" si="14"/>
        <v/>
      </c>
    </row>
    <row r="962" spans="7:7" x14ac:dyDescent="0.2">
      <c r="G962" t="str">
        <f t="shared" ref="G962:G999" si="15">IF(E962="","",E962*F962)</f>
        <v/>
      </c>
    </row>
    <row r="963" spans="7:7" x14ac:dyDescent="0.2">
      <c r="G963" t="str">
        <f t="shared" si="15"/>
        <v/>
      </c>
    </row>
    <row r="964" spans="7:7" x14ac:dyDescent="0.2">
      <c r="G964" t="str">
        <f t="shared" si="15"/>
        <v/>
      </c>
    </row>
    <row r="965" spans="7:7" x14ac:dyDescent="0.2">
      <c r="G965" t="str">
        <f t="shared" si="15"/>
        <v/>
      </c>
    </row>
    <row r="966" spans="7:7" x14ac:dyDescent="0.2">
      <c r="G966" t="str">
        <f t="shared" si="15"/>
        <v/>
      </c>
    </row>
    <row r="967" spans="7:7" x14ac:dyDescent="0.2">
      <c r="G967" t="str">
        <f t="shared" si="15"/>
        <v/>
      </c>
    </row>
    <row r="968" spans="7:7" x14ac:dyDescent="0.2">
      <c r="G968" t="str">
        <f t="shared" si="15"/>
        <v/>
      </c>
    </row>
    <row r="969" spans="7:7" x14ac:dyDescent="0.2">
      <c r="G969" t="str">
        <f t="shared" si="15"/>
        <v/>
      </c>
    </row>
    <row r="970" spans="7:7" x14ac:dyDescent="0.2">
      <c r="G970" t="str">
        <f t="shared" si="15"/>
        <v/>
      </c>
    </row>
    <row r="971" spans="7:7" x14ac:dyDescent="0.2">
      <c r="G971" t="str">
        <f t="shared" si="15"/>
        <v/>
      </c>
    </row>
    <row r="972" spans="7:7" x14ac:dyDescent="0.2">
      <c r="G972" t="str">
        <f t="shared" si="15"/>
        <v/>
      </c>
    </row>
    <row r="973" spans="7:7" x14ac:dyDescent="0.2">
      <c r="G973" t="str">
        <f t="shared" si="15"/>
        <v/>
      </c>
    </row>
    <row r="974" spans="7:7" x14ac:dyDescent="0.2">
      <c r="G974" t="str">
        <f t="shared" si="15"/>
        <v/>
      </c>
    </row>
    <row r="975" spans="7:7" x14ac:dyDescent="0.2">
      <c r="G975" t="str">
        <f t="shared" si="15"/>
        <v/>
      </c>
    </row>
    <row r="976" spans="7:7" x14ac:dyDescent="0.2">
      <c r="G976" t="str">
        <f t="shared" si="15"/>
        <v/>
      </c>
    </row>
    <row r="977" spans="7:7" x14ac:dyDescent="0.2">
      <c r="G977" t="str">
        <f t="shared" si="15"/>
        <v/>
      </c>
    </row>
    <row r="978" spans="7:7" x14ac:dyDescent="0.2">
      <c r="G978" t="str">
        <f t="shared" si="15"/>
        <v/>
      </c>
    </row>
    <row r="979" spans="7:7" x14ac:dyDescent="0.2">
      <c r="G979" t="str">
        <f t="shared" si="15"/>
        <v/>
      </c>
    </row>
    <row r="980" spans="7:7" x14ac:dyDescent="0.2">
      <c r="G980" t="str">
        <f t="shared" si="15"/>
        <v/>
      </c>
    </row>
    <row r="981" spans="7:7" x14ac:dyDescent="0.2">
      <c r="G981" t="str">
        <f t="shared" si="15"/>
        <v/>
      </c>
    </row>
    <row r="982" spans="7:7" x14ac:dyDescent="0.2">
      <c r="G982" t="str">
        <f t="shared" si="15"/>
        <v/>
      </c>
    </row>
    <row r="983" spans="7:7" x14ac:dyDescent="0.2">
      <c r="G983" t="str">
        <f t="shared" si="15"/>
        <v/>
      </c>
    </row>
    <row r="984" spans="7:7" x14ac:dyDescent="0.2">
      <c r="G984" t="str">
        <f t="shared" si="15"/>
        <v/>
      </c>
    </row>
    <row r="985" spans="7:7" x14ac:dyDescent="0.2">
      <c r="G985" t="str">
        <f t="shared" si="15"/>
        <v/>
      </c>
    </row>
    <row r="986" spans="7:7" x14ac:dyDescent="0.2">
      <c r="G986" t="str">
        <f t="shared" si="15"/>
        <v/>
      </c>
    </row>
    <row r="987" spans="7:7" x14ac:dyDescent="0.2">
      <c r="G987" t="str">
        <f t="shared" si="15"/>
        <v/>
      </c>
    </row>
    <row r="988" spans="7:7" x14ac:dyDescent="0.2">
      <c r="G988" t="str">
        <f t="shared" si="15"/>
        <v/>
      </c>
    </row>
    <row r="989" spans="7:7" x14ac:dyDescent="0.2">
      <c r="G989" t="str">
        <f t="shared" si="15"/>
        <v/>
      </c>
    </row>
    <row r="990" spans="7:7" x14ac:dyDescent="0.2">
      <c r="G990" t="str">
        <f t="shared" si="15"/>
        <v/>
      </c>
    </row>
    <row r="991" spans="7:7" x14ac:dyDescent="0.2">
      <c r="G991" t="str">
        <f t="shared" si="15"/>
        <v/>
      </c>
    </row>
    <row r="992" spans="7:7" x14ac:dyDescent="0.2">
      <c r="G992" t="str">
        <f t="shared" si="15"/>
        <v/>
      </c>
    </row>
    <row r="993" spans="7:7" x14ac:dyDescent="0.2">
      <c r="G993" t="str">
        <f t="shared" si="15"/>
        <v/>
      </c>
    </row>
    <row r="994" spans="7:7" x14ac:dyDescent="0.2">
      <c r="G994" t="str">
        <f t="shared" si="15"/>
        <v/>
      </c>
    </row>
    <row r="995" spans="7:7" x14ac:dyDescent="0.2">
      <c r="G995" t="str">
        <f t="shared" si="15"/>
        <v/>
      </c>
    </row>
    <row r="996" spans="7:7" x14ac:dyDescent="0.2">
      <c r="G996" t="str">
        <f t="shared" si="15"/>
        <v/>
      </c>
    </row>
    <row r="997" spans="7:7" x14ac:dyDescent="0.2">
      <c r="G997" t="str">
        <f t="shared" si="15"/>
        <v/>
      </c>
    </row>
    <row r="998" spans="7:7" x14ac:dyDescent="0.2">
      <c r="G998" t="str">
        <f t="shared" si="15"/>
        <v/>
      </c>
    </row>
    <row r="999" spans="7:7" x14ac:dyDescent="0.2">
      <c r="G999" t="str">
        <f t="shared" si="15"/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"/>
  <sheetViews>
    <sheetView workbookViewId="0">
      <selection activeCell="E4" sqref="E4"/>
    </sheetView>
  </sheetViews>
  <sheetFormatPr baseColWidth="10" defaultColWidth="8.83203125" defaultRowHeight="15" x14ac:dyDescent="0.2"/>
  <cols>
    <col min="1" max="15" width="24" customWidth="1"/>
  </cols>
  <sheetData>
    <row r="1" spans="1:15" x14ac:dyDescent="0.2">
      <c r="A1" s="1" t="s">
        <v>22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">
      <c r="A2" s="6">
        <v>46152</v>
      </c>
      <c r="B2" t="s">
        <v>4</v>
      </c>
      <c r="C2">
        <v>300</v>
      </c>
      <c r="D2" t="s">
        <v>13</v>
      </c>
      <c r="E2">
        <v>310</v>
      </c>
    </row>
    <row r="3" spans="1:15" x14ac:dyDescent="0.2">
      <c r="A3" s="6">
        <v>46152</v>
      </c>
      <c r="B3" t="s">
        <v>126</v>
      </c>
      <c r="C3">
        <v>50</v>
      </c>
      <c r="D3" t="s">
        <v>211</v>
      </c>
      <c r="E3">
        <v>200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400-000000000000}">
          <x14:formula1>
            <xm:f>MASTER_PRODUCTS!$B$2:$B$500</xm:f>
          </x14:formula1>
          <xm:sqref>B2:B1000</xm:sqref>
        </x14:dataValidation>
        <x14:dataValidation type="list" xr:uid="{00000000-0002-0000-0400-000001000000}">
          <x14:formula1>
            <xm:f>MASTER_RAW_MATERIALS!$B$2:$B$1000</xm:f>
          </x14:formula1>
          <xm:sqref>D2:D1000 F2:F1000 H2:H1000 J2:J1000 L2:L1000 N2:N1000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99"/>
  <sheetViews>
    <sheetView workbookViewId="0">
      <selection activeCell="F2" sqref="F2"/>
    </sheetView>
  </sheetViews>
  <sheetFormatPr baseColWidth="10" defaultColWidth="8.83203125" defaultRowHeight="15" x14ac:dyDescent="0.2"/>
  <cols>
    <col min="1" max="3" width="24" customWidth="1"/>
    <col min="4" max="4" width="26.1640625" bestFit="1" customWidth="1"/>
    <col min="5" max="7" width="24" customWidth="1"/>
  </cols>
  <sheetData>
    <row r="1" spans="1:7" x14ac:dyDescent="0.2">
      <c r="A1" s="1" t="s">
        <v>22</v>
      </c>
      <c r="B1" s="1" t="s">
        <v>23</v>
      </c>
      <c r="C1" s="1" t="s">
        <v>42</v>
      </c>
      <c r="D1" s="1" t="s">
        <v>28</v>
      </c>
      <c r="E1" s="1" t="s">
        <v>43</v>
      </c>
      <c r="F1" s="1" t="s">
        <v>26</v>
      </c>
      <c r="G1" s="1" t="s">
        <v>44</v>
      </c>
    </row>
    <row r="2" spans="1:7" x14ac:dyDescent="0.2">
      <c r="A2" s="6">
        <v>46153</v>
      </c>
      <c r="C2" t="s">
        <v>241</v>
      </c>
      <c r="D2" t="s">
        <v>4</v>
      </c>
      <c r="E2">
        <v>100</v>
      </c>
      <c r="G2">
        <f t="shared" ref="G2:G65" si="0">IF(E2="","",E2*F2)</f>
        <v>0</v>
      </c>
    </row>
    <row r="3" spans="1:7" x14ac:dyDescent="0.2">
      <c r="A3" s="6">
        <v>46153</v>
      </c>
      <c r="C3" t="s">
        <v>241</v>
      </c>
      <c r="D3" t="s">
        <v>126</v>
      </c>
      <c r="E3">
        <v>35</v>
      </c>
      <c r="G3">
        <f t="shared" si="0"/>
        <v>0</v>
      </c>
    </row>
    <row r="4" spans="1:7" x14ac:dyDescent="0.2">
      <c r="G4" t="str">
        <f t="shared" si="0"/>
        <v/>
      </c>
    </row>
    <row r="5" spans="1:7" x14ac:dyDescent="0.2">
      <c r="G5" t="str">
        <f t="shared" si="0"/>
        <v/>
      </c>
    </row>
    <row r="6" spans="1:7" x14ac:dyDescent="0.2">
      <c r="G6" t="str">
        <f t="shared" si="0"/>
        <v/>
      </c>
    </row>
    <row r="7" spans="1:7" x14ac:dyDescent="0.2">
      <c r="G7" t="str">
        <f t="shared" si="0"/>
        <v/>
      </c>
    </row>
    <row r="8" spans="1:7" x14ac:dyDescent="0.2">
      <c r="G8" t="str">
        <f t="shared" si="0"/>
        <v/>
      </c>
    </row>
    <row r="9" spans="1:7" x14ac:dyDescent="0.2">
      <c r="G9" t="str">
        <f t="shared" si="0"/>
        <v/>
      </c>
    </row>
    <row r="10" spans="1:7" x14ac:dyDescent="0.2">
      <c r="G10" t="str">
        <f t="shared" si="0"/>
        <v/>
      </c>
    </row>
    <row r="11" spans="1:7" x14ac:dyDescent="0.2">
      <c r="G11" t="str">
        <f t="shared" si="0"/>
        <v/>
      </c>
    </row>
    <row r="12" spans="1:7" x14ac:dyDescent="0.2">
      <c r="G12" t="str">
        <f t="shared" si="0"/>
        <v/>
      </c>
    </row>
    <row r="13" spans="1:7" x14ac:dyDescent="0.2">
      <c r="G13" t="str">
        <f t="shared" si="0"/>
        <v/>
      </c>
    </row>
    <row r="14" spans="1:7" x14ac:dyDescent="0.2">
      <c r="G14" t="str">
        <f t="shared" si="0"/>
        <v/>
      </c>
    </row>
    <row r="15" spans="1:7" x14ac:dyDescent="0.2">
      <c r="G15" t="str">
        <f t="shared" si="0"/>
        <v/>
      </c>
    </row>
    <row r="16" spans="1:7" x14ac:dyDescent="0.2">
      <c r="G16" t="str">
        <f t="shared" si="0"/>
        <v/>
      </c>
    </row>
    <row r="17" spans="7:7" x14ac:dyDescent="0.2">
      <c r="G17" t="str">
        <f t="shared" si="0"/>
        <v/>
      </c>
    </row>
    <row r="18" spans="7:7" x14ac:dyDescent="0.2">
      <c r="G18" t="str">
        <f t="shared" si="0"/>
        <v/>
      </c>
    </row>
    <row r="19" spans="7:7" x14ac:dyDescent="0.2">
      <c r="G19" t="str">
        <f t="shared" si="0"/>
        <v/>
      </c>
    </row>
    <row r="20" spans="7:7" x14ac:dyDescent="0.2">
      <c r="G20" t="str">
        <f t="shared" si="0"/>
        <v/>
      </c>
    </row>
    <row r="21" spans="7:7" x14ac:dyDescent="0.2">
      <c r="G21" t="str">
        <f t="shared" si="0"/>
        <v/>
      </c>
    </row>
    <row r="22" spans="7:7" x14ac:dyDescent="0.2">
      <c r="G22" t="str">
        <f t="shared" si="0"/>
        <v/>
      </c>
    </row>
    <row r="23" spans="7:7" x14ac:dyDescent="0.2">
      <c r="G23" t="str">
        <f t="shared" si="0"/>
        <v/>
      </c>
    </row>
    <row r="24" spans="7:7" x14ac:dyDescent="0.2">
      <c r="G24" t="str">
        <f t="shared" si="0"/>
        <v/>
      </c>
    </row>
    <row r="25" spans="7:7" x14ac:dyDescent="0.2">
      <c r="G25" t="str">
        <f t="shared" si="0"/>
        <v/>
      </c>
    </row>
    <row r="26" spans="7:7" x14ac:dyDescent="0.2">
      <c r="G26" t="str">
        <f t="shared" si="0"/>
        <v/>
      </c>
    </row>
    <row r="27" spans="7:7" x14ac:dyDescent="0.2">
      <c r="G27" t="str">
        <f t="shared" si="0"/>
        <v/>
      </c>
    </row>
    <row r="28" spans="7:7" x14ac:dyDescent="0.2">
      <c r="G28" t="str">
        <f t="shared" si="0"/>
        <v/>
      </c>
    </row>
    <row r="29" spans="7:7" x14ac:dyDescent="0.2">
      <c r="G29" t="str">
        <f t="shared" si="0"/>
        <v/>
      </c>
    </row>
    <row r="30" spans="7:7" x14ac:dyDescent="0.2">
      <c r="G30" t="str">
        <f t="shared" si="0"/>
        <v/>
      </c>
    </row>
    <row r="31" spans="7:7" x14ac:dyDescent="0.2">
      <c r="G31" t="str">
        <f t="shared" si="0"/>
        <v/>
      </c>
    </row>
    <row r="32" spans="7:7" x14ac:dyDescent="0.2">
      <c r="G32" t="str">
        <f t="shared" si="0"/>
        <v/>
      </c>
    </row>
    <row r="33" spans="7:7" x14ac:dyDescent="0.2">
      <c r="G33" t="str">
        <f t="shared" si="0"/>
        <v/>
      </c>
    </row>
    <row r="34" spans="7:7" x14ac:dyDescent="0.2">
      <c r="G34" t="str">
        <f t="shared" si="0"/>
        <v/>
      </c>
    </row>
    <row r="35" spans="7:7" x14ac:dyDescent="0.2">
      <c r="G35" t="str">
        <f t="shared" si="0"/>
        <v/>
      </c>
    </row>
    <row r="36" spans="7:7" x14ac:dyDescent="0.2">
      <c r="G36" t="str">
        <f t="shared" si="0"/>
        <v/>
      </c>
    </row>
    <row r="37" spans="7:7" x14ac:dyDescent="0.2">
      <c r="G37" t="str">
        <f t="shared" si="0"/>
        <v/>
      </c>
    </row>
    <row r="38" spans="7:7" x14ac:dyDescent="0.2">
      <c r="G38" t="str">
        <f t="shared" si="0"/>
        <v/>
      </c>
    </row>
    <row r="39" spans="7:7" x14ac:dyDescent="0.2">
      <c r="G39" t="str">
        <f t="shared" si="0"/>
        <v/>
      </c>
    </row>
    <row r="40" spans="7:7" x14ac:dyDescent="0.2">
      <c r="G40" t="str">
        <f t="shared" si="0"/>
        <v/>
      </c>
    </row>
    <row r="41" spans="7:7" x14ac:dyDescent="0.2">
      <c r="G41" t="str">
        <f t="shared" si="0"/>
        <v/>
      </c>
    </row>
    <row r="42" spans="7:7" x14ac:dyDescent="0.2">
      <c r="G42" t="str">
        <f t="shared" si="0"/>
        <v/>
      </c>
    </row>
    <row r="43" spans="7:7" x14ac:dyDescent="0.2">
      <c r="G43" t="str">
        <f t="shared" si="0"/>
        <v/>
      </c>
    </row>
    <row r="44" spans="7:7" x14ac:dyDescent="0.2">
      <c r="G44" t="str">
        <f t="shared" si="0"/>
        <v/>
      </c>
    </row>
    <row r="45" spans="7:7" x14ac:dyDescent="0.2">
      <c r="G45" t="str">
        <f t="shared" si="0"/>
        <v/>
      </c>
    </row>
    <row r="46" spans="7:7" x14ac:dyDescent="0.2">
      <c r="G46" t="str">
        <f t="shared" si="0"/>
        <v/>
      </c>
    </row>
    <row r="47" spans="7:7" x14ac:dyDescent="0.2">
      <c r="G47" t="str">
        <f t="shared" si="0"/>
        <v/>
      </c>
    </row>
    <row r="48" spans="7:7" x14ac:dyDescent="0.2">
      <c r="G48" t="str">
        <f t="shared" si="0"/>
        <v/>
      </c>
    </row>
    <row r="49" spans="7:7" x14ac:dyDescent="0.2">
      <c r="G49" t="str">
        <f t="shared" si="0"/>
        <v/>
      </c>
    </row>
    <row r="50" spans="7:7" x14ac:dyDescent="0.2">
      <c r="G50" t="str">
        <f t="shared" si="0"/>
        <v/>
      </c>
    </row>
    <row r="51" spans="7:7" x14ac:dyDescent="0.2">
      <c r="G51" t="str">
        <f t="shared" si="0"/>
        <v/>
      </c>
    </row>
    <row r="52" spans="7:7" x14ac:dyDescent="0.2">
      <c r="G52" t="str">
        <f t="shared" si="0"/>
        <v/>
      </c>
    </row>
    <row r="53" spans="7:7" x14ac:dyDescent="0.2">
      <c r="G53" t="str">
        <f t="shared" si="0"/>
        <v/>
      </c>
    </row>
    <row r="54" spans="7:7" x14ac:dyDescent="0.2">
      <c r="G54" t="str">
        <f t="shared" si="0"/>
        <v/>
      </c>
    </row>
    <row r="55" spans="7:7" x14ac:dyDescent="0.2">
      <c r="G55" t="str">
        <f t="shared" si="0"/>
        <v/>
      </c>
    </row>
    <row r="56" spans="7:7" x14ac:dyDescent="0.2">
      <c r="G56" t="str">
        <f t="shared" si="0"/>
        <v/>
      </c>
    </row>
    <row r="57" spans="7:7" x14ac:dyDescent="0.2">
      <c r="G57" t="str">
        <f t="shared" si="0"/>
        <v/>
      </c>
    </row>
    <row r="58" spans="7:7" x14ac:dyDescent="0.2">
      <c r="G58" t="str">
        <f t="shared" si="0"/>
        <v/>
      </c>
    </row>
    <row r="59" spans="7:7" x14ac:dyDescent="0.2">
      <c r="G59" t="str">
        <f t="shared" si="0"/>
        <v/>
      </c>
    </row>
    <row r="60" spans="7:7" x14ac:dyDescent="0.2">
      <c r="G60" t="str">
        <f t="shared" si="0"/>
        <v/>
      </c>
    </row>
    <row r="61" spans="7:7" x14ac:dyDescent="0.2">
      <c r="G61" t="str">
        <f t="shared" si="0"/>
        <v/>
      </c>
    </row>
    <row r="62" spans="7:7" x14ac:dyDescent="0.2">
      <c r="G62" t="str">
        <f t="shared" si="0"/>
        <v/>
      </c>
    </row>
    <row r="63" spans="7:7" x14ac:dyDescent="0.2">
      <c r="G63" t="str">
        <f t="shared" si="0"/>
        <v/>
      </c>
    </row>
    <row r="64" spans="7:7" x14ac:dyDescent="0.2">
      <c r="G64" t="str">
        <f t="shared" si="0"/>
        <v/>
      </c>
    </row>
    <row r="65" spans="7:7" x14ac:dyDescent="0.2">
      <c r="G65" t="str">
        <f t="shared" si="0"/>
        <v/>
      </c>
    </row>
    <row r="66" spans="7:7" x14ac:dyDescent="0.2">
      <c r="G66" t="str">
        <f t="shared" ref="G66:G129" si="1">IF(E66="","",E66*F66)</f>
        <v/>
      </c>
    </row>
    <row r="67" spans="7:7" x14ac:dyDescent="0.2">
      <c r="G67" t="str">
        <f t="shared" si="1"/>
        <v/>
      </c>
    </row>
    <row r="68" spans="7:7" x14ac:dyDescent="0.2">
      <c r="G68" t="str">
        <f t="shared" si="1"/>
        <v/>
      </c>
    </row>
    <row r="69" spans="7:7" x14ac:dyDescent="0.2">
      <c r="G69" t="str">
        <f t="shared" si="1"/>
        <v/>
      </c>
    </row>
    <row r="70" spans="7:7" x14ac:dyDescent="0.2">
      <c r="G70" t="str">
        <f t="shared" si="1"/>
        <v/>
      </c>
    </row>
    <row r="71" spans="7:7" x14ac:dyDescent="0.2">
      <c r="G71" t="str">
        <f t="shared" si="1"/>
        <v/>
      </c>
    </row>
    <row r="72" spans="7:7" x14ac:dyDescent="0.2">
      <c r="G72" t="str">
        <f t="shared" si="1"/>
        <v/>
      </c>
    </row>
    <row r="73" spans="7:7" x14ac:dyDescent="0.2">
      <c r="G73" t="str">
        <f t="shared" si="1"/>
        <v/>
      </c>
    </row>
    <row r="74" spans="7:7" x14ac:dyDescent="0.2">
      <c r="G74" t="str">
        <f t="shared" si="1"/>
        <v/>
      </c>
    </row>
    <row r="75" spans="7:7" x14ac:dyDescent="0.2">
      <c r="G75" t="str">
        <f t="shared" si="1"/>
        <v/>
      </c>
    </row>
    <row r="76" spans="7:7" x14ac:dyDescent="0.2">
      <c r="G76" t="str">
        <f t="shared" si="1"/>
        <v/>
      </c>
    </row>
    <row r="77" spans="7:7" x14ac:dyDescent="0.2">
      <c r="G77" t="str">
        <f t="shared" si="1"/>
        <v/>
      </c>
    </row>
    <row r="78" spans="7:7" x14ac:dyDescent="0.2">
      <c r="G78" t="str">
        <f t="shared" si="1"/>
        <v/>
      </c>
    </row>
    <row r="79" spans="7:7" x14ac:dyDescent="0.2">
      <c r="G79" t="str">
        <f t="shared" si="1"/>
        <v/>
      </c>
    </row>
    <row r="80" spans="7:7" x14ac:dyDescent="0.2">
      <c r="G80" t="str">
        <f t="shared" si="1"/>
        <v/>
      </c>
    </row>
    <row r="81" spans="7:7" x14ac:dyDescent="0.2">
      <c r="G81" t="str">
        <f t="shared" si="1"/>
        <v/>
      </c>
    </row>
    <row r="82" spans="7:7" x14ac:dyDescent="0.2">
      <c r="G82" t="str">
        <f t="shared" si="1"/>
        <v/>
      </c>
    </row>
    <row r="83" spans="7:7" x14ac:dyDescent="0.2">
      <c r="G83" t="str">
        <f t="shared" si="1"/>
        <v/>
      </c>
    </row>
    <row r="84" spans="7:7" x14ac:dyDescent="0.2">
      <c r="G84" t="str">
        <f t="shared" si="1"/>
        <v/>
      </c>
    </row>
    <row r="85" spans="7:7" x14ac:dyDescent="0.2">
      <c r="G85" t="str">
        <f t="shared" si="1"/>
        <v/>
      </c>
    </row>
    <row r="86" spans="7:7" x14ac:dyDescent="0.2">
      <c r="G86" t="str">
        <f t="shared" si="1"/>
        <v/>
      </c>
    </row>
    <row r="87" spans="7:7" x14ac:dyDescent="0.2">
      <c r="G87" t="str">
        <f t="shared" si="1"/>
        <v/>
      </c>
    </row>
    <row r="88" spans="7:7" x14ac:dyDescent="0.2">
      <c r="G88" t="str">
        <f t="shared" si="1"/>
        <v/>
      </c>
    </row>
    <row r="89" spans="7:7" x14ac:dyDescent="0.2">
      <c r="G89" t="str">
        <f t="shared" si="1"/>
        <v/>
      </c>
    </row>
    <row r="90" spans="7:7" x14ac:dyDescent="0.2">
      <c r="G90" t="str">
        <f t="shared" si="1"/>
        <v/>
      </c>
    </row>
    <row r="91" spans="7:7" x14ac:dyDescent="0.2">
      <c r="G91" t="str">
        <f t="shared" si="1"/>
        <v/>
      </c>
    </row>
    <row r="92" spans="7:7" x14ac:dyDescent="0.2">
      <c r="G92" t="str">
        <f t="shared" si="1"/>
        <v/>
      </c>
    </row>
    <row r="93" spans="7:7" x14ac:dyDescent="0.2">
      <c r="G93" t="str">
        <f t="shared" si="1"/>
        <v/>
      </c>
    </row>
    <row r="94" spans="7:7" x14ac:dyDescent="0.2">
      <c r="G94" t="str">
        <f t="shared" si="1"/>
        <v/>
      </c>
    </row>
    <row r="95" spans="7:7" x14ac:dyDescent="0.2">
      <c r="G95" t="str">
        <f t="shared" si="1"/>
        <v/>
      </c>
    </row>
    <row r="96" spans="7:7" x14ac:dyDescent="0.2">
      <c r="G96" t="str">
        <f t="shared" si="1"/>
        <v/>
      </c>
    </row>
    <row r="97" spans="7:7" x14ac:dyDescent="0.2">
      <c r="G97" t="str">
        <f t="shared" si="1"/>
        <v/>
      </c>
    </row>
    <row r="98" spans="7:7" x14ac:dyDescent="0.2">
      <c r="G98" t="str">
        <f t="shared" si="1"/>
        <v/>
      </c>
    </row>
    <row r="99" spans="7:7" x14ac:dyDescent="0.2">
      <c r="G99" t="str">
        <f t="shared" si="1"/>
        <v/>
      </c>
    </row>
    <row r="100" spans="7:7" x14ac:dyDescent="0.2">
      <c r="G100" t="str">
        <f t="shared" si="1"/>
        <v/>
      </c>
    </row>
    <row r="101" spans="7:7" x14ac:dyDescent="0.2">
      <c r="G101" t="str">
        <f t="shared" si="1"/>
        <v/>
      </c>
    </row>
    <row r="102" spans="7:7" x14ac:dyDescent="0.2">
      <c r="G102" t="str">
        <f t="shared" si="1"/>
        <v/>
      </c>
    </row>
    <row r="103" spans="7:7" x14ac:dyDescent="0.2">
      <c r="G103" t="str">
        <f t="shared" si="1"/>
        <v/>
      </c>
    </row>
    <row r="104" spans="7:7" x14ac:dyDescent="0.2">
      <c r="G104" t="str">
        <f t="shared" si="1"/>
        <v/>
      </c>
    </row>
    <row r="105" spans="7:7" x14ac:dyDescent="0.2">
      <c r="G105" t="str">
        <f t="shared" si="1"/>
        <v/>
      </c>
    </row>
    <row r="106" spans="7:7" x14ac:dyDescent="0.2">
      <c r="G106" t="str">
        <f t="shared" si="1"/>
        <v/>
      </c>
    </row>
    <row r="107" spans="7:7" x14ac:dyDescent="0.2">
      <c r="G107" t="str">
        <f t="shared" si="1"/>
        <v/>
      </c>
    </row>
    <row r="108" spans="7:7" x14ac:dyDescent="0.2">
      <c r="G108" t="str">
        <f t="shared" si="1"/>
        <v/>
      </c>
    </row>
    <row r="109" spans="7:7" x14ac:dyDescent="0.2">
      <c r="G109" t="str">
        <f t="shared" si="1"/>
        <v/>
      </c>
    </row>
    <row r="110" spans="7:7" x14ac:dyDescent="0.2">
      <c r="G110" t="str">
        <f t="shared" si="1"/>
        <v/>
      </c>
    </row>
    <row r="111" spans="7:7" x14ac:dyDescent="0.2">
      <c r="G111" t="str">
        <f t="shared" si="1"/>
        <v/>
      </c>
    </row>
    <row r="112" spans="7:7" x14ac:dyDescent="0.2">
      <c r="G112" t="str">
        <f t="shared" si="1"/>
        <v/>
      </c>
    </row>
    <row r="113" spans="7:7" x14ac:dyDescent="0.2">
      <c r="G113" t="str">
        <f t="shared" si="1"/>
        <v/>
      </c>
    </row>
    <row r="114" spans="7:7" x14ac:dyDescent="0.2">
      <c r="G114" t="str">
        <f t="shared" si="1"/>
        <v/>
      </c>
    </row>
    <row r="115" spans="7:7" x14ac:dyDescent="0.2">
      <c r="G115" t="str">
        <f t="shared" si="1"/>
        <v/>
      </c>
    </row>
    <row r="116" spans="7:7" x14ac:dyDescent="0.2">
      <c r="G116" t="str">
        <f t="shared" si="1"/>
        <v/>
      </c>
    </row>
    <row r="117" spans="7:7" x14ac:dyDescent="0.2">
      <c r="G117" t="str">
        <f t="shared" si="1"/>
        <v/>
      </c>
    </row>
    <row r="118" spans="7:7" x14ac:dyDescent="0.2">
      <c r="G118" t="str">
        <f t="shared" si="1"/>
        <v/>
      </c>
    </row>
    <row r="119" spans="7:7" x14ac:dyDescent="0.2">
      <c r="G119" t="str">
        <f t="shared" si="1"/>
        <v/>
      </c>
    </row>
    <row r="120" spans="7:7" x14ac:dyDescent="0.2">
      <c r="G120" t="str">
        <f t="shared" si="1"/>
        <v/>
      </c>
    </row>
    <row r="121" spans="7:7" x14ac:dyDescent="0.2">
      <c r="G121" t="str">
        <f t="shared" si="1"/>
        <v/>
      </c>
    </row>
    <row r="122" spans="7:7" x14ac:dyDescent="0.2">
      <c r="G122" t="str">
        <f t="shared" si="1"/>
        <v/>
      </c>
    </row>
    <row r="123" spans="7:7" x14ac:dyDescent="0.2">
      <c r="G123" t="str">
        <f t="shared" si="1"/>
        <v/>
      </c>
    </row>
    <row r="124" spans="7:7" x14ac:dyDescent="0.2">
      <c r="G124" t="str">
        <f t="shared" si="1"/>
        <v/>
      </c>
    </row>
    <row r="125" spans="7:7" x14ac:dyDescent="0.2">
      <c r="G125" t="str">
        <f t="shared" si="1"/>
        <v/>
      </c>
    </row>
    <row r="126" spans="7:7" x14ac:dyDescent="0.2">
      <c r="G126" t="str">
        <f t="shared" si="1"/>
        <v/>
      </c>
    </row>
    <row r="127" spans="7:7" x14ac:dyDescent="0.2">
      <c r="G127" t="str">
        <f t="shared" si="1"/>
        <v/>
      </c>
    </row>
    <row r="128" spans="7:7" x14ac:dyDescent="0.2">
      <c r="G128" t="str">
        <f t="shared" si="1"/>
        <v/>
      </c>
    </row>
    <row r="129" spans="7:7" x14ac:dyDescent="0.2">
      <c r="G129" t="str">
        <f t="shared" si="1"/>
        <v/>
      </c>
    </row>
    <row r="130" spans="7:7" x14ac:dyDescent="0.2">
      <c r="G130" t="str">
        <f t="shared" ref="G130:G193" si="2">IF(E130="","",E130*F130)</f>
        <v/>
      </c>
    </row>
    <row r="131" spans="7:7" x14ac:dyDescent="0.2">
      <c r="G131" t="str">
        <f t="shared" si="2"/>
        <v/>
      </c>
    </row>
    <row r="132" spans="7:7" x14ac:dyDescent="0.2">
      <c r="G132" t="str">
        <f t="shared" si="2"/>
        <v/>
      </c>
    </row>
    <row r="133" spans="7:7" x14ac:dyDescent="0.2">
      <c r="G133" t="str">
        <f t="shared" si="2"/>
        <v/>
      </c>
    </row>
    <row r="134" spans="7:7" x14ac:dyDescent="0.2">
      <c r="G134" t="str">
        <f t="shared" si="2"/>
        <v/>
      </c>
    </row>
    <row r="135" spans="7:7" x14ac:dyDescent="0.2">
      <c r="G135" t="str">
        <f t="shared" si="2"/>
        <v/>
      </c>
    </row>
    <row r="136" spans="7:7" x14ac:dyDescent="0.2">
      <c r="G136" t="str">
        <f t="shared" si="2"/>
        <v/>
      </c>
    </row>
    <row r="137" spans="7:7" x14ac:dyDescent="0.2">
      <c r="G137" t="str">
        <f t="shared" si="2"/>
        <v/>
      </c>
    </row>
    <row r="138" spans="7:7" x14ac:dyDescent="0.2">
      <c r="G138" t="str">
        <f t="shared" si="2"/>
        <v/>
      </c>
    </row>
    <row r="139" spans="7:7" x14ac:dyDescent="0.2">
      <c r="G139" t="str">
        <f t="shared" si="2"/>
        <v/>
      </c>
    </row>
    <row r="140" spans="7:7" x14ac:dyDescent="0.2">
      <c r="G140" t="str">
        <f t="shared" si="2"/>
        <v/>
      </c>
    </row>
    <row r="141" spans="7:7" x14ac:dyDescent="0.2">
      <c r="G141" t="str">
        <f t="shared" si="2"/>
        <v/>
      </c>
    </row>
    <row r="142" spans="7:7" x14ac:dyDescent="0.2">
      <c r="G142" t="str">
        <f t="shared" si="2"/>
        <v/>
      </c>
    </row>
    <row r="143" spans="7:7" x14ac:dyDescent="0.2">
      <c r="G143" t="str">
        <f t="shared" si="2"/>
        <v/>
      </c>
    </row>
    <row r="144" spans="7:7" x14ac:dyDescent="0.2">
      <c r="G144" t="str">
        <f t="shared" si="2"/>
        <v/>
      </c>
    </row>
    <row r="145" spans="7:7" x14ac:dyDescent="0.2">
      <c r="G145" t="str">
        <f t="shared" si="2"/>
        <v/>
      </c>
    </row>
    <row r="146" spans="7:7" x14ac:dyDescent="0.2">
      <c r="G146" t="str">
        <f t="shared" si="2"/>
        <v/>
      </c>
    </row>
    <row r="147" spans="7:7" x14ac:dyDescent="0.2">
      <c r="G147" t="str">
        <f t="shared" si="2"/>
        <v/>
      </c>
    </row>
    <row r="148" spans="7:7" x14ac:dyDescent="0.2">
      <c r="G148" t="str">
        <f t="shared" si="2"/>
        <v/>
      </c>
    </row>
    <row r="149" spans="7:7" x14ac:dyDescent="0.2">
      <c r="G149" t="str">
        <f t="shared" si="2"/>
        <v/>
      </c>
    </row>
    <row r="150" spans="7:7" x14ac:dyDescent="0.2">
      <c r="G150" t="str">
        <f t="shared" si="2"/>
        <v/>
      </c>
    </row>
    <row r="151" spans="7:7" x14ac:dyDescent="0.2">
      <c r="G151" t="str">
        <f t="shared" si="2"/>
        <v/>
      </c>
    </row>
    <row r="152" spans="7:7" x14ac:dyDescent="0.2">
      <c r="G152" t="str">
        <f t="shared" si="2"/>
        <v/>
      </c>
    </row>
    <row r="153" spans="7:7" x14ac:dyDescent="0.2">
      <c r="G153" t="str">
        <f t="shared" si="2"/>
        <v/>
      </c>
    </row>
    <row r="154" spans="7:7" x14ac:dyDescent="0.2">
      <c r="G154" t="str">
        <f t="shared" si="2"/>
        <v/>
      </c>
    </row>
    <row r="155" spans="7:7" x14ac:dyDescent="0.2">
      <c r="G155" t="str">
        <f t="shared" si="2"/>
        <v/>
      </c>
    </row>
    <row r="156" spans="7:7" x14ac:dyDescent="0.2">
      <c r="G156" t="str">
        <f t="shared" si="2"/>
        <v/>
      </c>
    </row>
    <row r="157" spans="7:7" x14ac:dyDescent="0.2">
      <c r="G157" t="str">
        <f t="shared" si="2"/>
        <v/>
      </c>
    </row>
    <row r="158" spans="7:7" x14ac:dyDescent="0.2">
      <c r="G158" t="str">
        <f t="shared" si="2"/>
        <v/>
      </c>
    </row>
    <row r="159" spans="7:7" x14ac:dyDescent="0.2">
      <c r="G159" t="str">
        <f t="shared" si="2"/>
        <v/>
      </c>
    </row>
    <row r="160" spans="7:7" x14ac:dyDescent="0.2">
      <c r="G160" t="str">
        <f t="shared" si="2"/>
        <v/>
      </c>
    </row>
    <row r="161" spans="7:7" x14ac:dyDescent="0.2">
      <c r="G161" t="str">
        <f t="shared" si="2"/>
        <v/>
      </c>
    </row>
    <row r="162" spans="7:7" x14ac:dyDescent="0.2">
      <c r="G162" t="str">
        <f t="shared" si="2"/>
        <v/>
      </c>
    </row>
    <row r="163" spans="7:7" x14ac:dyDescent="0.2">
      <c r="G163" t="str">
        <f t="shared" si="2"/>
        <v/>
      </c>
    </row>
    <row r="164" spans="7:7" x14ac:dyDescent="0.2">
      <c r="G164" t="str">
        <f t="shared" si="2"/>
        <v/>
      </c>
    </row>
    <row r="165" spans="7:7" x14ac:dyDescent="0.2">
      <c r="G165" t="str">
        <f t="shared" si="2"/>
        <v/>
      </c>
    </row>
    <row r="166" spans="7:7" x14ac:dyDescent="0.2">
      <c r="G166" t="str">
        <f t="shared" si="2"/>
        <v/>
      </c>
    </row>
    <row r="167" spans="7:7" x14ac:dyDescent="0.2">
      <c r="G167" t="str">
        <f t="shared" si="2"/>
        <v/>
      </c>
    </row>
    <row r="168" spans="7:7" x14ac:dyDescent="0.2">
      <c r="G168" t="str">
        <f t="shared" si="2"/>
        <v/>
      </c>
    </row>
    <row r="169" spans="7:7" x14ac:dyDescent="0.2">
      <c r="G169" t="str">
        <f t="shared" si="2"/>
        <v/>
      </c>
    </row>
    <row r="170" spans="7:7" x14ac:dyDescent="0.2">
      <c r="G170" t="str">
        <f t="shared" si="2"/>
        <v/>
      </c>
    </row>
    <row r="171" spans="7:7" x14ac:dyDescent="0.2">
      <c r="G171" t="str">
        <f t="shared" si="2"/>
        <v/>
      </c>
    </row>
    <row r="172" spans="7:7" x14ac:dyDescent="0.2">
      <c r="G172" t="str">
        <f t="shared" si="2"/>
        <v/>
      </c>
    </row>
    <row r="173" spans="7:7" x14ac:dyDescent="0.2">
      <c r="G173" t="str">
        <f t="shared" si="2"/>
        <v/>
      </c>
    </row>
    <row r="174" spans="7:7" x14ac:dyDescent="0.2">
      <c r="G174" t="str">
        <f t="shared" si="2"/>
        <v/>
      </c>
    </row>
    <row r="175" spans="7:7" x14ac:dyDescent="0.2">
      <c r="G175" t="str">
        <f t="shared" si="2"/>
        <v/>
      </c>
    </row>
    <row r="176" spans="7:7" x14ac:dyDescent="0.2">
      <c r="G176" t="str">
        <f t="shared" si="2"/>
        <v/>
      </c>
    </row>
    <row r="177" spans="7:7" x14ac:dyDescent="0.2">
      <c r="G177" t="str">
        <f t="shared" si="2"/>
        <v/>
      </c>
    </row>
    <row r="178" spans="7:7" x14ac:dyDescent="0.2">
      <c r="G178" t="str">
        <f t="shared" si="2"/>
        <v/>
      </c>
    </row>
    <row r="179" spans="7:7" x14ac:dyDescent="0.2">
      <c r="G179" t="str">
        <f t="shared" si="2"/>
        <v/>
      </c>
    </row>
    <row r="180" spans="7:7" x14ac:dyDescent="0.2">
      <c r="G180" t="str">
        <f t="shared" si="2"/>
        <v/>
      </c>
    </row>
    <row r="181" spans="7:7" x14ac:dyDescent="0.2">
      <c r="G181" t="str">
        <f t="shared" si="2"/>
        <v/>
      </c>
    </row>
    <row r="182" spans="7:7" x14ac:dyDescent="0.2">
      <c r="G182" t="str">
        <f t="shared" si="2"/>
        <v/>
      </c>
    </row>
    <row r="183" spans="7:7" x14ac:dyDescent="0.2">
      <c r="G183" t="str">
        <f t="shared" si="2"/>
        <v/>
      </c>
    </row>
    <row r="184" spans="7:7" x14ac:dyDescent="0.2">
      <c r="G184" t="str">
        <f t="shared" si="2"/>
        <v/>
      </c>
    </row>
    <row r="185" spans="7:7" x14ac:dyDescent="0.2">
      <c r="G185" t="str">
        <f t="shared" si="2"/>
        <v/>
      </c>
    </row>
    <row r="186" spans="7:7" x14ac:dyDescent="0.2">
      <c r="G186" t="str">
        <f t="shared" si="2"/>
        <v/>
      </c>
    </row>
    <row r="187" spans="7:7" x14ac:dyDescent="0.2">
      <c r="G187" t="str">
        <f t="shared" si="2"/>
        <v/>
      </c>
    </row>
    <row r="188" spans="7:7" x14ac:dyDescent="0.2">
      <c r="G188" t="str">
        <f t="shared" si="2"/>
        <v/>
      </c>
    </row>
    <row r="189" spans="7:7" x14ac:dyDescent="0.2">
      <c r="G189" t="str">
        <f t="shared" si="2"/>
        <v/>
      </c>
    </row>
    <row r="190" spans="7:7" x14ac:dyDescent="0.2">
      <c r="G190" t="str">
        <f t="shared" si="2"/>
        <v/>
      </c>
    </row>
    <row r="191" spans="7:7" x14ac:dyDescent="0.2">
      <c r="G191" t="str">
        <f t="shared" si="2"/>
        <v/>
      </c>
    </row>
    <row r="192" spans="7:7" x14ac:dyDescent="0.2">
      <c r="G192" t="str">
        <f t="shared" si="2"/>
        <v/>
      </c>
    </row>
    <row r="193" spans="7:7" x14ac:dyDescent="0.2">
      <c r="G193" t="str">
        <f t="shared" si="2"/>
        <v/>
      </c>
    </row>
    <row r="194" spans="7:7" x14ac:dyDescent="0.2">
      <c r="G194" t="str">
        <f t="shared" ref="G194:G257" si="3">IF(E194="","",E194*F194)</f>
        <v/>
      </c>
    </row>
    <row r="195" spans="7:7" x14ac:dyDescent="0.2">
      <c r="G195" t="str">
        <f t="shared" si="3"/>
        <v/>
      </c>
    </row>
    <row r="196" spans="7:7" x14ac:dyDescent="0.2">
      <c r="G196" t="str">
        <f t="shared" si="3"/>
        <v/>
      </c>
    </row>
    <row r="197" spans="7:7" x14ac:dyDescent="0.2">
      <c r="G197" t="str">
        <f t="shared" si="3"/>
        <v/>
      </c>
    </row>
    <row r="198" spans="7:7" x14ac:dyDescent="0.2">
      <c r="G198" t="str">
        <f t="shared" si="3"/>
        <v/>
      </c>
    </row>
    <row r="199" spans="7:7" x14ac:dyDescent="0.2">
      <c r="G199" t="str">
        <f t="shared" si="3"/>
        <v/>
      </c>
    </row>
    <row r="200" spans="7:7" x14ac:dyDescent="0.2">
      <c r="G200" t="str">
        <f t="shared" si="3"/>
        <v/>
      </c>
    </row>
    <row r="201" spans="7:7" x14ac:dyDescent="0.2">
      <c r="G201" t="str">
        <f t="shared" si="3"/>
        <v/>
      </c>
    </row>
    <row r="202" spans="7:7" x14ac:dyDescent="0.2">
      <c r="G202" t="str">
        <f t="shared" si="3"/>
        <v/>
      </c>
    </row>
    <row r="203" spans="7:7" x14ac:dyDescent="0.2">
      <c r="G203" t="str">
        <f t="shared" si="3"/>
        <v/>
      </c>
    </row>
    <row r="204" spans="7:7" x14ac:dyDescent="0.2">
      <c r="G204" t="str">
        <f t="shared" si="3"/>
        <v/>
      </c>
    </row>
    <row r="205" spans="7:7" x14ac:dyDescent="0.2">
      <c r="G205" t="str">
        <f t="shared" si="3"/>
        <v/>
      </c>
    </row>
    <row r="206" spans="7:7" x14ac:dyDescent="0.2">
      <c r="G206" t="str">
        <f t="shared" si="3"/>
        <v/>
      </c>
    </row>
    <row r="207" spans="7:7" x14ac:dyDescent="0.2">
      <c r="G207" t="str">
        <f t="shared" si="3"/>
        <v/>
      </c>
    </row>
    <row r="208" spans="7:7" x14ac:dyDescent="0.2">
      <c r="G208" t="str">
        <f t="shared" si="3"/>
        <v/>
      </c>
    </row>
    <row r="209" spans="7:7" x14ac:dyDescent="0.2">
      <c r="G209" t="str">
        <f t="shared" si="3"/>
        <v/>
      </c>
    </row>
    <row r="210" spans="7:7" x14ac:dyDescent="0.2">
      <c r="G210" t="str">
        <f t="shared" si="3"/>
        <v/>
      </c>
    </row>
    <row r="211" spans="7:7" x14ac:dyDescent="0.2">
      <c r="G211" t="str">
        <f t="shared" si="3"/>
        <v/>
      </c>
    </row>
    <row r="212" spans="7:7" x14ac:dyDescent="0.2">
      <c r="G212" t="str">
        <f t="shared" si="3"/>
        <v/>
      </c>
    </row>
    <row r="213" spans="7:7" x14ac:dyDescent="0.2">
      <c r="G213" t="str">
        <f t="shared" si="3"/>
        <v/>
      </c>
    </row>
    <row r="214" spans="7:7" x14ac:dyDescent="0.2">
      <c r="G214" t="str">
        <f t="shared" si="3"/>
        <v/>
      </c>
    </row>
    <row r="215" spans="7:7" x14ac:dyDescent="0.2">
      <c r="G215" t="str">
        <f t="shared" si="3"/>
        <v/>
      </c>
    </row>
    <row r="216" spans="7:7" x14ac:dyDescent="0.2">
      <c r="G216" t="str">
        <f t="shared" si="3"/>
        <v/>
      </c>
    </row>
    <row r="217" spans="7:7" x14ac:dyDescent="0.2">
      <c r="G217" t="str">
        <f t="shared" si="3"/>
        <v/>
      </c>
    </row>
    <row r="218" spans="7:7" x14ac:dyDescent="0.2">
      <c r="G218" t="str">
        <f t="shared" si="3"/>
        <v/>
      </c>
    </row>
    <row r="219" spans="7:7" x14ac:dyDescent="0.2">
      <c r="G219" t="str">
        <f t="shared" si="3"/>
        <v/>
      </c>
    </row>
    <row r="220" spans="7:7" x14ac:dyDescent="0.2">
      <c r="G220" t="str">
        <f t="shared" si="3"/>
        <v/>
      </c>
    </row>
    <row r="221" spans="7:7" x14ac:dyDescent="0.2">
      <c r="G221" t="str">
        <f t="shared" si="3"/>
        <v/>
      </c>
    </row>
    <row r="222" spans="7:7" x14ac:dyDescent="0.2">
      <c r="G222" t="str">
        <f t="shared" si="3"/>
        <v/>
      </c>
    </row>
    <row r="223" spans="7:7" x14ac:dyDescent="0.2">
      <c r="G223" t="str">
        <f t="shared" si="3"/>
        <v/>
      </c>
    </row>
    <row r="224" spans="7:7" x14ac:dyDescent="0.2">
      <c r="G224" t="str">
        <f t="shared" si="3"/>
        <v/>
      </c>
    </row>
    <row r="225" spans="7:7" x14ac:dyDescent="0.2">
      <c r="G225" t="str">
        <f t="shared" si="3"/>
        <v/>
      </c>
    </row>
    <row r="226" spans="7:7" x14ac:dyDescent="0.2">
      <c r="G226" t="str">
        <f t="shared" si="3"/>
        <v/>
      </c>
    </row>
    <row r="227" spans="7:7" x14ac:dyDescent="0.2">
      <c r="G227" t="str">
        <f t="shared" si="3"/>
        <v/>
      </c>
    </row>
    <row r="228" spans="7:7" x14ac:dyDescent="0.2">
      <c r="G228" t="str">
        <f t="shared" si="3"/>
        <v/>
      </c>
    </row>
    <row r="229" spans="7:7" x14ac:dyDescent="0.2">
      <c r="G229" t="str">
        <f t="shared" si="3"/>
        <v/>
      </c>
    </row>
    <row r="230" spans="7:7" x14ac:dyDescent="0.2">
      <c r="G230" t="str">
        <f t="shared" si="3"/>
        <v/>
      </c>
    </row>
    <row r="231" spans="7:7" x14ac:dyDescent="0.2">
      <c r="G231" t="str">
        <f t="shared" si="3"/>
        <v/>
      </c>
    </row>
    <row r="232" spans="7:7" x14ac:dyDescent="0.2">
      <c r="G232" t="str">
        <f t="shared" si="3"/>
        <v/>
      </c>
    </row>
    <row r="233" spans="7:7" x14ac:dyDescent="0.2">
      <c r="G233" t="str">
        <f t="shared" si="3"/>
        <v/>
      </c>
    </row>
    <row r="234" spans="7:7" x14ac:dyDescent="0.2">
      <c r="G234" t="str">
        <f t="shared" si="3"/>
        <v/>
      </c>
    </row>
    <row r="235" spans="7:7" x14ac:dyDescent="0.2">
      <c r="G235" t="str">
        <f t="shared" si="3"/>
        <v/>
      </c>
    </row>
    <row r="236" spans="7:7" x14ac:dyDescent="0.2">
      <c r="G236" t="str">
        <f t="shared" si="3"/>
        <v/>
      </c>
    </row>
    <row r="237" spans="7:7" x14ac:dyDescent="0.2">
      <c r="G237" t="str">
        <f t="shared" si="3"/>
        <v/>
      </c>
    </row>
    <row r="238" spans="7:7" x14ac:dyDescent="0.2">
      <c r="G238" t="str">
        <f t="shared" si="3"/>
        <v/>
      </c>
    </row>
    <row r="239" spans="7:7" x14ac:dyDescent="0.2">
      <c r="G239" t="str">
        <f t="shared" si="3"/>
        <v/>
      </c>
    </row>
    <row r="240" spans="7:7" x14ac:dyDescent="0.2">
      <c r="G240" t="str">
        <f t="shared" si="3"/>
        <v/>
      </c>
    </row>
    <row r="241" spans="7:7" x14ac:dyDescent="0.2">
      <c r="G241" t="str">
        <f t="shared" si="3"/>
        <v/>
      </c>
    </row>
    <row r="242" spans="7:7" x14ac:dyDescent="0.2">
      <c r="G242" t="str">
        <f t="shared" si="3"/>
        <v/>
      </c>
    </row>
    <row r="243" spans="7:7" x14ac:dyDescent="0.2">
      <c r="G243" t="str">
        <f t="shared" si="3"/>
        <v/>
      </c>
    </row>
    <row r="244" spans="7:7" x14ac:dyDescent="0.2">
      <c r="G244" t="str">
        <f t="shared" si="3"/>
        <v/>
      </c>
    </row>
    <row r="245" spans="7:7" x14ac:dyDescent="0.2">
      <c r="G245" t="str">
        <f t="shared" si="3"/>
        <v/>
      </c>
    </row>
    <row r="246" spans="7:7" x14ac:dyDescent="0.2">
      <c r="G246" t="str">
        <f t="shared" si="3"/>
        <v/>
      </c>
    </row>
    <row r="247" spans="7:7" x14ac:dyDescent="0.2">
      <c r="G247" t="str">
        <f t="shared" si="3"/>
        <v/>
      </c>
    </row>
    <row r="248" spans="7:7" x14ac:dyDescent="0.2">
      <c r="G248" t="str">
        <f t="shared" si="3"/>
        <v/>
      </c>
    </row>
    <row r="249" spans="7:7" x14ac:dyDescent="0.2">
      <c r="G249" t="str">
        <f t="shared" si="3"/>
        <v/>
      </c>
    </row>
    <row r="250" spans="7:7" x14ac:dyDescent="0.2">
      <c r="G250" t="str">
        <f t="shared" si="3"/>
        <v/>
      </c>
    </row>
    <row r="251" spans="7:7" x14ac:dyDescent="0.2">
      <c r="G251" t="str">
        <f t="shared" si="3"/>
        <v/>
      </c>
    </row>
    <row r="252" spans="7:7" x14ac:dyDescent="0.2">
      <c r="G252" t="str">
        <f t="shared" si="3"/>
        <v/>
      </c>
    </row>
    <row r="253" spans="7:7" x14ac:dyDescent="0.2">
      <c r="G253" t="str">
        <f t="shared" si="3"/>
        <v/>
      </c>
    </row>
    <row r="254" spans="7:7" x14ac:dyDescent="0.2">
      <c r="G254" t="str">
        <f t="shared" si="3"/>
        <v/>
      </c>
    </row>
    <row r="255" spans="7:7" x14ac:dyDescent="0.2">
      <c r="G255" t="str">
        <f t="shared" si="3"/>
        <v/>
      </c>
    </row>
    <row r="256" spans="7:7" x14ac:dyDescent="0.2">
      <c r="G256" t="str">
        <f t="shared" si="3"/>
        <v/>
      </c>
    </row>
    <row r="257" spans="7:7" x14ac:dyDescent="0.2">
      <c r="G257" t="str">
        <f t="shared" si="3"/>
        <v/>
      </c>
    </row>
    <row r="258" spans="7:7" x14ac:dyDescent="0.2">
      <c r="G258" t="str">
        <f t="shared" ref="G258:G321" si="4">IF(E258="","",E258*F258)</f>
        <v/>
      </c>
    </row>
    <row r="259" spans="7:7" x14ac:dyDescent="0.2">
      <c r="G259" t="str">
        <f t="shared" si="4"/>
        <v/>
      </c>
    </row>
    <row r="260" spans="7:7" x14ac:dyDescent="0.2">
      <c r="G260" t="str">
        <f t="shared" si="4"/>
        <v/>
      </c>
    </row>
    <row r="261" spans="7:7" x14ac:dyDescent="0.2">
      <c r="G261" t="str">
        <f t="shared" si="4"/>
        <v/>
      </c>
    </row>
    <row r="262" spans="7:7" x14ac:dyDescent="0.2">
      <c r="G262" t="str">
        <f t="shared" si="4"/>
        <v/>
      </c>
    </row>
    <row r="263" spans="7:7" x14ac:dyDescent="0.2">
      <c r="G263" t="str">
        <f t="shared" si="4"/>
        <v/>
      </c>
    </row>
    <row r="264" spans="7:7" x14ac:dyDescent="0.2">
      <c r="G264" t="str">
        <f t="shared" si="4"/>
        <v/>
      </c>
    </row>
    <row r="265" spans="7:7" x14ac:dyDescent="0.2">
      <c r="G265" t="str">
        <f t="shared" si="4"/>
        <v/>
      </c>
    </row>
    <row r="266" spans="7:7" x14ac:dyDescent="0.2">
      <c r="G266" t="str">
        <f t="shared" si="4"/>
        <v/>
      </c>
    </row>
    <row r="267" spans="7:7" x14ac:dyDescent="0.2">
      <c r="G267" t="str">
        <f t="shared" si="4"/>
        <v/>
      </c>
    </row>
    <row r="268" spans="7:7" x14ac:dyDescent="0.2">
      <c r="G268" t="str">
        <f t="shared" si="4"/>
        <v/>
      </c>
    </row>
    <row r="269" spans="7:7" x14ac:dyDescent="0.2">
      <c r="G269" t="str">
        <f t="shared" si="4"/>
        <v/>
      </c>
    </row>
    <row r="270" spans="7:7" x14ac:dyDescent="0.2">
      <c r="G270" t="str">
        <f t="shared" si="4"/>
        <v/>
      </c>
    </row>
    <row r="271" spans="7:7" x14ac:dyDescent="0.2">
      <c r="G271" t="str">
        <f t="shared" si="4"/>
        <v/>
      </c>
    </row>
    <row r="272" spans="7:7" x14ac:dyDescent="0.2">
      <c r="G272" t="str">
        <f t="shared" si="4"/>
        <v/>
      </c>
    </row>
    <row r="273" spans="7:7" x14ac:dyDescent="0.2">
      <c r="G273" t="str">
        <f t="shared" si="4"/>
        <v/>
      </c>
    </row>
    <row r="274" spans="7:7" x14ac:dyDescent="0.2">
      <c r="G274" t="str">
        <f t="shared" si="4"/>
        <v/>
      </c>
    </row>
    <row r="275" spans="7:7" x14ac:dyDescent="0.2">
      <c r="G275" t="str">
        <f t="shared" si="4"/>
        <v/>
      </c>
    </row>
    <row r="276" spans="7:7" x14ac:dyDescent="0.2">
      <c r="G276" t="str">
        <f t="shared" si="4"/>
        <v/>
      </c>
    </row>
    <row r="277" spans="7:7" x14ac:dyDescent="0.2">
      <c r="G277" t="str">
        <f t="shared" si="4"/>
        <v/>
      </c>
    </row>
    <row r="278" spans="7:7" x14ac:dyDescent="0.2">
      <c r="G278" t="str">
        <f t="shared" si="4"/>
        <v/>
      </c>
    </row>
    <row r="279" spans="7:7" x14ac:dyDescent="0.2">
      <c r="G279" t="str">
        <f t="shared" si="4"/>
        <v/>
      </c>
    </row>
    <row r="280" spans="7:7" x14ac:dyDescent="0.2">
      <c r="G280" t="str">
        <f t="shared" si="4"/>
        <v/>
      </c>
    </row>
    <row r="281" spans="7:7" x14ac:dyDescent="0.2">
      <c r="G281" t="str">
        <f t="shared" si="4"/>
        <v/>
      </c>
    </row>
    <row r="282" spans="7:7" x14ac:dyDescent="0.2">
      <c r="G282" t="str">
        <f t="shared" si="4"/>
        <v/>
      </c>
    </row>
    <row r="283" spans="7:7" x14ac:dyDescent="0.2">
      <c r="G283" t="str">
        <f t="shared" si="4"/>
        <v/>
      </c>
    </row>
    <row r="284" spans="7:7" x14ac:dyDescent="0.2">
      <c r="G284" t="str">
        <f t="shared" si="4"/>
        <v/>
      </c>
    </row>
    <row r="285" spans="7:7" x14ac:dyDescent="0.2">
      <c r="G285" t="str">
        <f t="shared" si="4"/>
        <v/>
      </c>
    </row>
    <row r="286" spans="7:7" x14ac:dyDescent="0.2">
      <c r="G286" t="str">
        <f t="shared" si="4"/>
        <v/>
      </c>
    </row>
    <row r="287" spans="7:7" x14ac:dyDescent="0.2">
      <c r="G287" t="str">
        <f t="shared" si="4"/>
        <v/>
      </c>
    </row>
    <row r="288" spans="7:7" x14ac:dyDescent="0.2">
      <c r="G288" t="str">
        <f t="shared" si="4"/>
        <v/>
      </c>
    </row>
    <row r="289" spans="7:7" x14ac:dyDescent="0.2">
      <c r="G289" t="str">
        <f t="shared" si="4"/>
        <v/>
      </c>
    </row>
    <row r="290" spans="7:7" x14ac:dyDescent="0.2">
      <c r="G290" t="str">
        <f t="shared" si="4"/>
        <v/>
      </c>
    </row>
    <row r="291" spans="7:7" x14ac:dyDescent="0.2">
      <c r="G291" t="str">
        <f t="shared" si="4"/>
        <v/>
      </c>
    </row>
    <row r="292" spans="7:7" x14ac:dyDescent="0.2">
      <c r="G292" t="str">
        <f t="shared" si="4"/>
        <v/>
      </c>
    </row>
    <row r="293" spans="7:7" x14ac:dyDescent="0.2">
      <c r="G293" t="str">
        <f t="shared" si="4"/>
        <v/>
      </c>
    </row>
    <row r="294" spans="7:7" x14ac:dyDescent="0.2">
      <c r="G294" t="str">
        <f t="shared" si="4"/>
        <v/>
      </c>
    </row>
    <row r="295" spans="7:7" x14ac:dyDescent="0.2">
      <c r="G295" t="str">
        <f t="shared" si="4"/>
        <v/>
      </c>
    </row>
    <row r="296" spans="7:7" x14ac:dyDescent="0.2">
      <c r="G296" t="str">
        <f t="shared" si="4"/>
        <v/>
      </c>
    </row>
    <row r="297" spans="7:7" x14ac:dyDescent="0.2">
      <c r="G297" t="str">
        <f t="shared" si="4"/>
        <v/>
      </c>
    </row>
    <row r="298" spans="7:7" x14ac:dyDescent="0.2">
      <c r="G298" t="str">
        <f t="shared" si="4"/>
        <v/>
      </c>
    </row>
    <row r="299" spans="7:7" x14ac:dyDescent="0.2">
      <c r="G299" t="str">
        <f t="shared" si="4"/>
        <v/>
      </c>
    </row>
    <row r="300" spans="7:7" x14ac:dyDescent="0.2">
      <c r="G300" t="str">
        <f t="shared" si="4"/>
        <v/>
      </c>
    </row>
    <row r="301" spans="7:7" x14ac:dyDescent="0.2">
      <c r="G301" t="str">
        <f t="shared" si="4"/>
        <v/>
      </c>
    </row>
    <row r="302" spans="7:7" x14ac:dyDescent="0.2">
      <c r="G302" t="str">
        <f t="shared" si="4"/>
        <v/>
      </c>
    </row>
    <row r="303" spans="7:7" x14ac:dyDescent="0.2">
      <c r="G303" t="str">
        <f t="shared" si="4"/>
        <v/>
      </c>
    </row>
    <row r="304" spans="7:7" x14ac:dyDescent="0.2">
      <c r="G304" t="str">
        <f t="shared" si="4"/>
        <v/>
      </c>
    </row>
    <row r="305" spans="7:7" x14ac:dyDescent="0.2">
      <c r="G305" t="str">
        <f t="shared" si="4"/>
        <v/>
      </c>
    </row>
    <row r="306" spans="7:7" x14ac:dyDescent="0.2">
      <c r="G306" t="str">
        <f t="shared" si="4"/>
        <v/>
      </c>
    </row>
    <row r="307" spans="7:7" x14ac:dyDescent="0.2">
      <c r="G307" t="str">
        <f t="shared" si="4"/>
        <v/>
      </c>
    </row>
    <row r="308" spans="7:7" x14ac:dyDescent="0.2">
      <c r="G308" t="str">
        <f t="shared" si="4"/>
        <v/>
      </c>
    </row>
    <row r="309" spans="7:7" x14ac:dyDescent="0.2">
      <c r="G309" t="str">
        <f t="shared" si="4"/>
        <v/>
      </c>
    </row>
    <row r="310" spans="7:7" x14ac:dyDescent="0.2">
      <c r="G310" t="str">
        <f t="shared" si="4"/>
        <v/>
      </c>
    </row>
    <row r="311" spans="7:7" x14ac:dyDescent="0.2">
      <c r="G311" t="str">
        <f t="shared" si="4"/>
        <v/>
      </c>
    </row>
    <row r="312" spans="7:7" x14ac:dyDescent="0.2">
      <c r="G312" t="str">
        <f t="shared" si="4"/>
        <v/>
      </c>
    </row>
    <row r="313" spans="7:7" x14ac:dyDescent="0.2">
      <c r="G313" t="str">
        <f t="shared" si="4"/>
        <v/>
      </c>
    </row>
    <row r="314" spans="7:7" x14ac:dyDescent="0.2">
      <c r="G314" t="str">
        <f t="shared" si="4"/>
        <v/>
      </c>
    </row>
    <row r="315" spans="7:7" x14ac:dyDescent="0.2">
      <c r="G315" t="str">
        <f t="shared" si="4"/>
        <v/>
      </c>
    </row>
    <row r="316" spans="7:7" x14ac:dyDescent="0.2">
      <c r="G316" t="str">
        <f t="shared" si="4"/>
        <v/>
      </c>
    </row>
    <row r="317" spans="7:7" x14ac:dyDescent="0.2">
      <c r="G317" t="str">
        <f t="shared" si="4"/>
        <v/>
      </c>
    </row>
    <row r="318" spans="7:7" x14ac:dyDescent="0.2">
      <c r="G318" t="str">
        <f t="shared" si="4"/>
        <v/>
      </c>
    </row>
    <row r="319" spans="7:7" x14ac:dyDescent="0.2">
      <c r="G319" t="str">
        <f t="shared" si="4"/>
        <v/>
      </c>
    </row>
    <row r="320" spans="7:7" x14ac:dyDescent="0.2">
      <c r="G320" t="str">
        <f t="shared" si="4"/>
        <v/>
      </c>
    </row>
    <row r="321" spans="7:7" x14ac:dyDescent="0.2">
      <c r="G321" t="str">
        <f t="shared" si="4"/>
        <v/>
      </c>
    </row>
    <row r="322" spans="7:7" x14ac:dyDescent="0.2">
      <c r="G322" t="str">
        <f t="shared" ref="G322:G385" si="5">IF(E322="","",E322*F322)</f>
        <v/>
      </c>
    </row>
    <row r="323" spans="7:7" x14ac:dyDescent="0.2">
      <c r="G323" t="str">
        <f t="shared" si="5"/>
        <v/>
      </c>
    </row>
    <row r="324" spans="7:7" x14ac:dyDescent="0.2">
      <c r="G324" t="str">
        <f t="shared" si="5"/>
        <v/>
      </c>
    </row>
    <row r="325" spans="7:7" x14ac:dyDescent="0.2">
      <c r="G325" t="str">
        <f t="shared" si="5"/>
        <v/>
      </c>
    </row>
    <row r="326" spans="7:7" x14ac:dyDescent="0.2">
      <c r="G326" t="str">
        <f t="shared" si="5"/>
        <v/>
      </c>
    </row>
    <row r="327" spans="7:7" x14ac:dyDescent="0.2">
      <c r="G327" t="str">
        <f t="shared" si="5"/>
        <v/>
      </c>
    </row>
    <row r="328" spans="7:7" x14ac:dyDescent="0.2">
      <c r="G328" t="str">
        <f t="shared" si="5"/>
        <v/>
      </c>
    </row>
    <row r="329" spans="7:7" x14ac:dyDescent="0.2">
      <c r="G329" t="str">
        <f t="shared" si="5"/>
        <v/>
      </c>
    </row>
    <row r="330" spans="7:7" x14ac:dyDescent="0.2">
      <c r="G330" t="str">
        <f t="shared" si="5"/>
        <v/>
      </c>
    </row>
    <row r="331" spans="7:7" x14ac:dyDescent="0.2">
      <c r="G331" t="str">
        <f t="shared" si="5"/>
        <v/>
      </c>
    </row>
    <row r="332" spans="7:7" x14ac:dyDescent="0.2">
      <c r="G332" t="str">
        <f t="shared" si="5"/>
        <v/>
      </c>
    </row>
    <row r="333" spans="7:7" x14ac:dyDescent="0.2">
      <c r="G333" t="str">
        <f t="shared" si="5"/>
        <v/>
      </c>
    </row>
    <row r="334" spans="7:7" x14ac:dyDescent="0.2">
      <c r="G334" t="str">
        <f t="shared" si="5"/>
        <v/>
      </c>
    </row>
    <row r="335" spans="7:7" x14ac:dyDescent="0.2">
      <c r="G335" t="str">
        <f t="shared" si="5"/>
        <v/>
      </c>
    </row>
    <row r="336" spans="7:7" x14ac:dyDescent="0.2">
      <c r="G336" t="str">
        <f t="shared" si="5"/>
        <v/>
      </c>
    </row>
    <row r="337" spans="7:7" x14ac:dyDescent="0.2">
      <c r="G337" t="str">
        <f t="shared" si="5"/>
        <v/>
      </c>
    </row>
    <row r="338" spans="7:7" x14ac:dyDescent="0.2">
      <c r="G338" t="str">
        <f t="shared" si="5"/>
        <v/>
      </c>
    </row>
    <row r="339" spans="7:7" x14ac:dyDescent="0.2">
      <c r="G339" t="str">
        <f t="shared" si="5"/>
        <v/>
      </c>
    </row>
    <row r="340" spans="7:7" x14ac:dyDescent="0.2">
      <c r="G340" t="str">
        <f t="shared" si="5"/>
        <v/>
      </c>
    </row>
    <row r="341" spans="7:7" x14ac:dyDescent="0.2">
      <c r="G341" t="str">
        <f t="shared" si="5"/>
        <v/>
      </c>
    </row>
    <row r="342" spans="7:7" x14ac:dyDescent="0.2">
      <c r="G342" t="str">
        <f t="shared" si="5"/>
        <v/>
      </c>
    </row>
    <row r="343" spans="7:7" x14ac:dyDescent="0.2">
      <c r="G343" t="str">
        <f t="shared" si="5"/>
        <v/>
      </c>
    </row>
    <row r="344" spans="7:7" x14ac:dyDescent="0.2">
      <c r="G344" t="str">
        <f t="shared" si="5"/>
        <v/>
      </c>
    </row>
    <row r="345" spans="7:7" x14ac:dyDescent="0.2">
      <c r="G345" t="str">
        <f t="shared" si="5"/>
        <v/>
      </c>
    </row>
    <row r="346" spans="7:7" x14ac:dyDescent="0.2">
      <c r="G346" t="str">
        <f t="shared" si="5"/>
        <v/>
      </c>
    </row>
    <row r="347" spans="7:7" x14ac:dyDescent="0.2">
      <c r="G347" t="str">
        <f t="shared" si="5"/>
        <v/>
      </c>
    </row>
    <row r="348" spans="7:7" x14ac:dyDescent="0.2">
      <c r="G348" t="str">
        <f t="shared" si="5"/>
        <v/>
      </c>
    </row>
    <row r="349" spans="7:7" x14ac:dyDescent="0.2">
      <c r="G349" t="str">
        <f t="shared" si="5"/>
        <v/>
      </c>
    </row>
    <row r="350" spans="7:7" x14ac:dyDescent="0.2">
      <c r="G350" t="str">
        <f t="shared" si="5"/>
        <v/>
      </c>
    </row>
    <row r="351" spans="7:7" x14ac:dyDescent="0.2">
      <c r="G351" t="str">
        <f t="shared" si="5"/>
        <v/>
      </c>
    </row>
    <row r="352" spans="7:7" x14ac:dyDescent="0.2">
      <c r="G352" t="str">
        <f t="shared" si="5"/>
        <v/>
      </c>
    </row>
    <row r="353" spans="7:7" x14ac:dyDescent="0.2">
      <c r="G353" t="str">
        <f t="shared" si="5"/>
        <v/>
      </c>
    </row>
    <row r="354" spans="7:7" x14ac:dyDescent="0.2">
      <c r="G354" t="str">
        <f t="shared" si="5"/>
        <v/>
      </c>
    </row>
    <row r="355" spans="7:7" x14ac:dyDescent="0.2">
      <c r="G355" t="str">
        <f t="shared" si="5"/>
        <v/>
      </c>
    </row>
    <row r="356" spans="7:7" x14ac:dyDescent="0.2">
      <c r="G356" t="str">
        <f t="shared" si="5"/>
        <v/>
      </c>
    </row>
    <row r="357" spans="7:7" x14ac:dyDescent="0.2">
      <c r="G357" t="str">
        <f t="shared" si="5"/>
        <v/>
      </c>
    </row>
    <row r="358" spans="7:7" x14ac:dyDescent="0.2">
      <c r="G358" t="str">
        <f t="shared" si="5"/>
        <v/>
      </c>
    </row>
    <row r="359" spans="7:7" x14ac:dyDescent="0.2">
      <c r="G359" t="str">
        <f t="shared" si="5"/>
        <v/>
      </c>
    </row>
    <row r="360" spans="7:7" x14ac:dyDescent="0.2">
      <c r="G360" t="str">
        <f t="shared" si="5"/>
        <v/>
      </c>
    </row>
    <row r="361" spans="7:7" x14ac:dyDescent="0.2">
      <c r="G361" t="str">
        <f t="shared" si="5"/>
        <v/>
      </c>
    </row>
    <row r="362" spans="7:7" x14ac:dyDescent="0.2">
      <c r="G362" t="str">
        <f t="shared" si="5"/>
        <v/>
      </c>
    </row>
    <row r="363" spans="7:7" x14ac:dyDescent="0.2">
      <c r="G363" t="str">
        <f t="shared" si="5"/>
        <v/>
      </c>
    </row>
    <row r="364" spans="7:7" x14ac:dyDescent="0.2">
      <c r="G364" t="str">
        <f t="shared" si="5"/>
        <v/>
      </c>
    </row>
    <row r="365" spans="7:7" x14ac:dyDescent="0.2">
      <c r="G365" t="str">
        <f t="shared" si="5"/>
        <v/>
      </c>
    </row>
    <row r="366" spans="7:7" x14ac:dyDescent="0.2">
      <c r="G366" t="str">
        <f t="shared" si="5"/>
        <v/>
      </c>
    </row>
    <row r="367" spans="7:7" x14ac:dyDescent="0.2">
      <c r="G367" t="str">
        <f t="shared" si="5"/>
        <v/>
      </c>
    </row>
    <row r="368" spans="7:7" x14ac:dyDescent="0.2">
      <c r="G368" t="str">
        <f t="shared" si="5"/>
        <v/>
      </c>
    </row>
    <row r="369" spans="7:7" x14ac:dyDescent="0.2">
      <c r="G369" t="str">
        <f t="shared" si="5"/>
        <v/>
      </c>
    </row>
    <row r="370" spans="7:7" x14ac:dyDescent="0.2">
      <c r="G370" t="str">
        <f t="shared" si="5"/>
        <v/>
      </c>
    </row>
    <row r="371" spans="7:7" x14ac:dyDescent="0.2">
      <c r="G371" t="str">
        <f t="shared" si="5"/>
        <v/>
      </c>
    </row>
    <row r="372" spans="7:7" x14ac:dyDescent="0.2">
      <c r="G372" t="str">
        <f t="shared" si="5"/>
        <v/>
      </c>
    </row>
    <row r="373" spans="7:7" x14ac:dyDescent="0.2">
      <c r="G373" t="str">
        <f t="shared" si="5"/>
        <v/>
      </c>
    </row>
    <row r="374" spans="7:7" x14ac:dyDescent="0.2">
      <c r="G374" t="str">
        <f t="shared" si="5"/>
        <v/>
      </c>
    </row>
    <row r="375" spans="7:7" x14ac:dyDescent="0.2">
      <c r="G375" t="str">
        <f t="shared" si="5"/>
        <v/>
      </c>
    </row>
    <row r="376" spans="7:7" x14ac:dyDescent="0.2">
      <c r="G376" t="str">
        <f t="shared" si="5"/>
        <v/>
      </c>
    </row>
    <row r="377" spans="7:7" x14ac:dyDescent="0.2">
      <c r="G377" t="str">
        <f t="shared" si="5"/>
        <v/>
      </c>
    </row>
    <row r="378" spans="7:7" x14ac:dyDescent="0.2">
      <c r="G378" t="str">
        <f t="shared" si="5"/>
        <v/>
      </c>
    </row>
    <row r="379" spans="7:7" x14ac:dyDescent="0.2">
      <c r="G379" t="str">
        <f t="shared" si="5"/>
        <v/>
      </c>
    </row>
    <row r="380" spans="7:7" x14ac:dyDescent="0.2">
      <c r="G380" t="str">
        <f t="shared" si="5"/>
        <v/>
      </c>
    </row>
    <row r="381" spans="7:7" x14ac:dyDescent="0.2">
      <c r="G381" t="str">
        <f t="shared" si="5"/>
        <v/>
      </c>
    </row>
    <row r="382" spans="7:7" x14ac:dyDescent="0.2">
      <c r="G382" t="str">
        <f t="shared" si="5"/>
        <v/>
      </c>
    </row>
    <row r="383" spans="7:7" x14ac:dyDescent="0.2">
      <c r="G383" t="str">
        <f t="shared" si="5"/>
        <v/>
      </c>
    </row>
    <row r="384" spans="7:7" x14ac:dyDescent="0.2">
      <c r="G384" t="str">
        <f t="shared" si="5"/>
        <v/>
      </c>
    </row>
    <row r="385" spans="7:7" x14ac:dyDescent="0.2">
      <c r="G385" t="str">
        <f t="shared" si="5"/>
        <v/>
      </c>
    </row>
    <row r="386" spans="7:7" x14ac:dyDescent="0.2">
      <c r="G386" t="str">
        <f t="shared" ref="G386:G449" si="6">IF(E386="","",E386*F386)</f>
        <v/>
      </c>
    </row>
    <row r="387" spans="7:7" x14ac:dyDescent="0.2">
      <c r="G387" t="str">
        <f t="shared" si="6"/>
        <v/>
      </c>
    </row>
    <row r="388" spans="7:7" x14ac:dyDescent="0.2">
      <c r="G388" t="str">
        <f t="shared" si="6"/>
        <v/>
      </c>
    </row>
    <row r="389" spans="7:7" x14ac:dyDescent="0.2">
      <c r="G389" t="str">
        <f t="shared" si="6"/>
        <v/>
      </c>
    </row>
    <row r="390" spans="7:7" x14ac:dyDescent="0.2">
      <c r="G390" t="str">
        <f t="shared" si="6"/>
        <v/>
      </c>
    </row>
    <row r="391" spans="7:7" x14ac:dyDescent="0.2">
      <c r="G391" t="str">
        <f t="shared" si="6"/>
        <v/>
      </c>
    </row>
    <row r="392" spans="7:7" x14ac:dyDescent="0.2">
      <c r="G392" t="str">
        <f t="shared" si="6"/>
        <v/>
      </c>
    </row>
    <row r="393" spans="7:7" x14ac:dyDescent="0.2">
      <c r="G393" t="str">
        <f t="shared" si="6"/>
        <v/>
      </c>
    </row>
    <row r="394" spans="7:7" x14ac:dyDescent="0.2">
      <c r="G394" t="str">
        <f t="shared" si="6"/>
        <v/>
      </c>
    </row>
    <row r="395" spans="7:7" x14ac:dyDescent="0.2">
      <c r="G395" t="str">
        <f t="shared" si="6"/>
        <v/>
      </c>
    </row>
    <row r="396" spans="7:7" x14ac:dyDescent="0.2">
      <c r="G396" t="str">
        <f t="shared" si="6"/>
        <v/>
      </c>
    </row>
    <row r="397" spans="7:7" x14ac:dyDescent="0.2">
      <c r="G397" t="str">
        <f t="shared" si="6"/>
        <v/>
      </c>
    </row>
    <row r="398" spans="7:7" x14ac:dyDescent="0.2">
      <c r="G398" t="str">
        <f t="shared" si="6"/>
        <v/>
      </c>
    </row>
    <row r="399" spans="7:7" x14ac:dyDescent="0.2">
      <c r="G399" t="str">
        <f t="shared" si="6"/>
        <v/>
      </c>
    </row>
    <row r="400" spans="7:7" x14ac:dyDescent="0.2">
      <c r="G400" t="str">
        <f t="shared" si="6"/>
        <v/>
      </c>
    </row>
    <row r="401" spans="7:7" x14ac:dyDescent="0.2">
      <c r="G401" t="str">
        <f t="shared" si="6"/>
        <v/>
      </c>
    </row>
    <row r="402" spans="7:7" x14ac:dyDescent="0.2">
      <c r="G402" t="str">
        <f t="shared" si="6"/>
        <v/>
      </c>
    </row>
    <row r="403" spans="7:7" x14ac:dyDescent="0.2">
      <c r="G403" t="str">
        <f t="shared" si="6"/>
        <v/>
      </c>
    </row>
    <row r="404" spans="7:7" x14ac:dyDescent="0.2">
      <c r="G404" t="str">
        <f t="shared" si="6"/>
        <v/>
      </c>
    </row>
    <row r="405" spans="7:7" x14ac:dyDescent="0.2">
      <c r="G405" t="str">
        <f t="shared" si="6"/>
        <v/>
      </c>
    </row>
    <row r="406" spans="7:7" x14ac:dyDescent="0.2">
      <c r="G406" t="str">
        <f t="shared" si="6"/>
        <v/>
      </c>
    </row>
    <row r="407" spans="7:7" x14ac:dyDescent="0.2">
      <c r="G407" t="str">
        <f t="shared" si="6"/>
        <v/>
      </c>
    </row>
    <row r="408" spans="7:7" x14ac:dyDescent="0.2">
      <c r="G408" t="str">
        <f t="shared" si="6"/>
        <v/>
      </c>
    </row>
    <row r="409" spans="7:7" x14ac:dyDescent="0.2">
      <c r="G409" t="str">
        <f t="shared" si="6"/>
        <v/>
      </c>
    </row>
    <row r="410" spans="7:7" x14ac:dyDescent="0.2">
      <c r="G410" t="str">
        <f t="shared" si="6"/>
        <v/>
      </c>
    </row>
    <row r="411" spans="7:7" x14ac:dyDescent="0.2">
      <c r="G411" t="str">
        <f t="shared" si="6"/>
        <v/>
      </c>
    </row>
    <row r="412" spans="7:7" x14ac:dyDescent="0.2">
      <c r="G412" t="str">
        <f t="shared" si="6"/>
        <v/>
      </c>
    </row>
    <row r="413" spans="7:7" x14ac:dyDescent="0.2">
      <c r="G413" t="str">
        <f t="shared" si="6"/>
        <v/>
      </c>
    </row>
    <row r="414" spans="7:7" x14ac:dyDescent="0.2">
      <c r="G414" t="str">
        <f t="shared" si="6"/>
        <v/>
      </c>
    </row>
    <row r="415" spans="7:7" x14ac:dyDescent="0.2">
      <c r="G415" t="str">
        <f t="shared" si="6"/>
        <v/>
      </c>
    </row>
    <row r="416" spans="7:7" x14ac:dyDescent="0.2">
      <c r="G416" t="str">
        <f t="shared" si="6"/>
        <v/>
      </c>
    </row>
    <row r="417" spans="7:7" x14ac:dyDescent="0.2">
      <c r="G417" t="str">
        <f t="shared" si="6"/>
        <v/>
      </c>
    </row>
    <row r="418" spans="7:7" x14ac:dyDescent="0.2">
      <c r="G418" t="str">
        <f t="shared" si="6"/>
        <v/>
      </c>
    </row>
    <row r="419" spans="7:7" x14ac:dyDescent="0.2">
      <c r="G419" t="str">
        <f t="shared" si="6"/>
        <v/>
      </c>
    </row>
    <row r="420" spans="7:7" x14ac:dyDescent="0.2">
      <c r="G420" t="str">
        <f t="shared" si="6"/>
        <v/>
      </c>
    </row>
    <row r="421" spans="7:7" x14ac:dyDescent="0.2">
      <c r="G421" t="str">
        <f t="shared" si="6"/>
        <v/>
      </c>
    </row>
    <row r="422" spans="7:7" x14ac:dyDescent="0.2">
      <c r="G422" t="str">
        <f t="shared" si="6"/>
        <v/>
      </c>
    </row>
    <row r="423" spans="7:7" x14ac:dyDescent="0.2">
      <c r="G423" t="str">
        <f t="shared" si="6"/>
        <v/>
      </c>
    </row>
    <row r="424" spans="7:7" x14ac:dyDescent="0.2">
      <c r="G424" t="str">
        <f t="shared" si="6"/>
        <v/>
      </c>
    </row>
    <row r="425" spans="7:7" x14ac:dyDescent="0.2">
      <c r="G425" t="str">
        <f t="shared" si="6"/>
        <v/>
      </c>
    </row>
    <row r="426" spans="7:7" x14ac:dyDescent="0.2">
      <c r="G426" t="str">
        <f t="shared" si="6"/>
        <v/>
      </c>
    </row>
    <row r="427" spans="7:7" x14ac:dyDescent="0.2">
      <c r="G427" t="str">
        <f t="shared" si="6"/>
        <v/>
      </c>
    </row>
    <row r="428" spans="7:7" x14ac:dyDescent="0.2">
      <c r="G428" t="str">
        <f t="shared" si="6"/>
        <v/>
      </c>
    </row>
    <row r="429" spans="7:7" x14ac:dyDescent="0.2">
      <c r="G429" t="str">
        <f t="shared" si="6"/>
        <v/>
      </c>
    </row>
    <row r="430" spans="7:7" x14ac:dyDescent="0.2">
      <c r="G430" t="str">
        <f t="shared" si="6"/>
        <v/>
      </c>
    </row>
    <row r="431" spans="7:7" x14ac:dyDescent="0.2">
      <c r="G431" t="str">
        <f t="shared" si="6"/>
        <v/>
      </c>
    </row>
    <row r="432" spans="7:7" x14ac:dyDescent="0.2">
      <c r="G432" t="str">
        <f t="shared" si="6"/>
        <v/>
      </c>
    </row>
    <row r="433" spans="7:7" x14ac:dyDescent="0.2">
      <c r="G433" t="str">
        <f t="shared" si="6"/>
        <v/>
      </c>
    </row>
    <row r="434" spans="7:7" x14ac:dyDescent="0.2">
      <c r="G434" t="str">
        <f t="shared" si="6"/>
        <v/>
      </c>
    </row>
    <row r="435" spans="7:7" x14ac:dyDescent="0.2">
      <c r="G435" t="str">
        <f t="shared" si="6"/>
        <v/>
      </c>
    </row>
    <row r="436" spans="7:7" x14ac:dyDescent="0.2">
      <c r="G436" t="str">
        <f t="shared" si="6"/>
        <v/>
      </c>
    </row>
    <row r="437" spans="7:7" x14ac:dyDescent="0.2">
      <c r="G437" t="str">
        <f t="shared" si="6"/>
        <v/>
      </c>
    </row>
    <row r="438" spans="7:7" x14ac:dyDescent="0.2">
      <c r="G438" t="str">
        <f t="shared" si="6"/>
        <v/>
      </c>
    </row>
    <row r="439" spans="7:7" x14ac:dyDescent="0.2">
      <c r="G439" t="str">
        <f t="shared" si="6"/>
        <v/>
      </c>
    </row>
    <row r="440" spans="7:7" x14ac:dyDescent="0.2">
      <c r="G440" t="str">
        <f t="shared" si="6"/>
        <v/>
      </c>
    </row>
    <row r="441" spans="7:7" x14ac:dyDescent="0.2">
      <c r="G441" t="str">
        <f t="shared" si="6"/>
        <v/>
      </c>
    </row>
    <row r="442" spans="7:7" x14ac:dyDescent="0.2">
      <c r="G442" t="str">
        <f t="shared" si="6"/>
        <v/>
      </c>
    </row>
    <row r="443" spans="7:7" x14ac:dyDescent="0.2">
      <c r="G443" t="str">
        <f t="shared" si="6"/>
        <v/>
      </c>
    </row>
    <row r="444" spans="7:7" x14ac:dyDescent="0.2">
      <c r="G444" t="str">
        <f t="shared" si="6"/>
        <v/>
      </c>
    </row>
    <row r="445" spans="7:7" x14ac:dyDescent="0.2">
      <c r="G445" t="str">
        <f t="shared" si="6"/>
        <v/>
      </c>
    </row>
    <row r="446" spans="7:7" x14ac:dyDescent="0.2">
      <c r="G446" t="str">
        <f t="shared" si="6"/>
        <v/>
      </c>
    </row>
    <row r="447" spans="7:7" x14ac:dyDescent="0.2">
      <c r="G447" t="str">
        <f t="shared" si="6"/>
        <v/>
      </c>
    </row>
    <row r="448" spans="7:7" x14ac:dyDescent="0.2">
      <c r="G448" t="str">
        <f t="shared" si="6"/>
        <v/>
      </c>
    </row>
    <row r="449" spans="7:7" x14ac:dyDescent="0.2">
      <c r="G449" t="str">
        <f t="shared" si="6"/>
        <v/>
      </c>
    </row>
    <row r="450" spans="7:7" x14ac:dyDescent="0.2">
      <c r="G450" t="str">
        <f t="shared" ref="G450:G513" si="7">IF(E450="","",E450*F450)</f>
        <v/>
      </c>
    </row>
    <row r="451" spans="7:7" x14ac:dyDescent="0.2">
      <c r="G451" t="str">
        <f t="shared" si="7"/>
        <v/>
      </c>
    </row>
    <row r="452" spans="7:7" x14ac:dyDescent="0.2">
      <c r="G452" t="str">
        <f t="shared" si="7"/>
        <v/>
      </c>
    </row>
    <row r="453" spans="7:7" x14ac:dyDescent="0.2">
      <c r="G453" t="str">
        <f t="shared" si="7"/>
        <v/>
      </c>
    </row>
    <row r="454" spans="7:7" x14ac:dyDescent="0.2">
      <c r="G454" t="str">
        <f t="shared" si="7"/>
        <v/>
      </c>
    </row>
    <row r="455" spans="7:7" x14ac:dyDescent="0.2">
      <c r="G455" t="str">
        <f t="shared" si="7"/>
        <v/>
      </c>
    </row>
    <row r="456" spans="7:7" x14ac:dyDescent="0.2">
      <c r="G456" t="str">
        <f t="shared" si="7"/>
        <v/>
      </c>
    </row>
    <row r="457" spans="7:7" x14ac:dyDescent="0.2">
      <c r="G457" t="str">
        <f t="shared" si="7"/>
        <v/>
      </c>
    </row>
    <row r="458" spans="7:7" x14ac:dyDescent="0.2">
      <c r="G458" t="str">
        <f t="shared" si="7"/>
        <v/>
      </c>
    </row>
    <row r="459" spans="7:7" x14ac:dyDescent="0.2">
      <c r="G459" t="str">
        <f t="shared" si="7"/>
        <v/>
      </c>
    </row>
    <row r="460" spans="7:7" x14ac:dyDescent="0.2">
      <c r="G460" t="str">
        <f t="shared" si="7"/>
        <v/>
      </c>
    </row>
    <row r="461" spans="7:7" x14ac:dyDescent="0.2">
      <c r="G461" t="str">
        <f t="shared" si="7"/>
        <v/>
      </c>
    </row>
    <row r="462" spans="7:7" x14ac:dyDescent="0.2">
      <c r="G462" t="str">
        <f t="shared" si="7"/>
        <v/>
      </c>
    </row>
    <row r="463" spans="7:7" x14ac:dyDescent="0.2">
      <c r="G463" t="str">
        <f t="shared" si="7"/>
        <v/>
      </c>
    </row>
    <row r="464" spans="7:7" x14ac:dyDescent="0.2">
      <c r="G464" t="str">
        <f t="shared" si="7"/>
        <v/>
      </c>
    </row>
    <row r="465" spans="7:7" x14ac:dyDescent="0.2">
      <c r="G465" t="str">
        <f t="shared" si="7"/>
        <v/>
      </c>
    </row>
    <row r="466" spans="7:7" x14ac:dyDescent="0.2">
      <c r="G466" t="str">
        <f t="shared" si="7"/>
        <v/>
      </c>
    </row>
    <row r="467" spans="7:7" x14ac:dyDescent="0.2">
      <c r="G467" t="str">
        <f t="shared" si="7"/>
        <v/>
      </c>
    </row>
    <row r="468" spans="7:7" x14ac:dyDescent="0.2">
      <c r="G468" t="str">
        <f t="shared" si="7"/>
        <v/>
      </c>
    </row>
    <row r="469" spans="7:7" x14ac:dyDescent="0.2">
      <c r="G469" t="str">
        <f t="shared" si="7"/>
        <v/>
      </c>
    </row>
    <row r="470" spans="7:7" x14ac:dyDescent="0.2">
      <c r="G470" t="str">
        <f t="shared" si="7"/>
        <v/>
      </c>
    </row>
    <row r="471" spans="7:7" x14ac:dyDescent="0.2">
      <c r="G471" t="str">
        <f t="shared" si="7"/>
        <v/>
      </c>
    </row>
    <row r="472" spans="7:7" x14ac:dyDescent="0.2">
      <c r="G472" t="str">
        <f t="shared" si="7"/>
        <v/>
      </c>
    </row>
    <row r="473" spans="7:7" x14ac:dyDescent="0.2">
      <c r="G473" t="str">
        <f t="shared" si="7"/>
        <v/>
      </c>
    </row>
    <row r="474" spans="7:7" x14ac:dyDescent="0.2">
      <c r="G474" t="str">
        <f t="shared" si="7"/>
        <v/>
      </c>
    </row>
    <row r="475" spans="7:7" x14ac:dyDescent="0.2">
      <c r="G475" t="str">
        <f t="shared" si="7"/>
        <v/>
      </c>
    </row>
    <row r="476" spans="7:7" x14ac:dyDescent="0.2">
      <c r="G476" t="str">
        <f t="shared" si="7"/>
        <v/>
      </c>
    </row>
    <row r="477" spans="7:7" x14ac:dyDescent="0.2">
      <c r="G477" t="str">
        <f t="shared" si="7"/>
        <v/>
      </c>
    </row>
    <row r="478" spans="7:7" x14ac:dyDescent="0.2">
      <c r="G478" t="str">
        <f t="shared" si="7"/>
        <v/>
      </c>
    </row>
    <row r="479" spans="7:7" x14ac:dyDescent="0.2">
      <c r="G479" t="str">
        <f t="shared" si="7"/>
        <v/>
      </c>
    </row>
    <row r="480" spans="7:7" x14ac:dyDescent="0.2">
      <c r="G480" t="str">
        <f t="shared" si="7"/>
        <v/>
      </c>
    </row>
    <row r="481" spans="7:7" x14ac:dyDescent="0.2">
      <c r="G481" t="str">
        <f t="shared" si="7"/>
        <v/>
      </c>
    </row>
    <row r="482" spans="7:7" x14ac:dyDescent="0.2">
      <c r="G482" t="str">
        <f t="shared" si="7"/>
        <v/>
      </c>
    </row>
    <row r="483" spans="7:7" x14ac:dyDescent="0.2">
      <c r="G483" t="str">
        <f t="shared" si="7"/>
        <v/>
      </c>
    </row>
    <row r="484" spans="7:7" x14ac:dyDescent="0.2">
      <c r="G484" t="str">
        <f t="shared" si="7"/>
        <v/>
      </c>
    </row>
    <row r="485" spans="7:7" x14ac:dyDescent="0.2">
      <c r="G485" t="str">
        <f t="shared" si="7"/>
        <v/>
      </c>
    </row>
    <row r="486" spans="7:7" x14ac:dyDescent="0.2">
      <c r="G486" t="str">
        <f t="shared" si="7"/>
        <v/>
      </c>
    </row>
    <row r="487" spans="7:7" x14ac:dyDescent="0.2">
      <c r="G487" t="str">
        <f t="shared" si="7"/>
        <v/>
      </c>
    </row>
    <row r="488" spans="7:7" x14ac:dyDescent="0.2">
      <c r="G488" t="str">
        <f t="shared" si="7"/>
        <v/>
      </c>
    </row>
    <row r="489" spans="7:7" x14ac:dyDescent="0.2">
      <c r="G489" t="str">
        <f t="shared" si="7"/>
        <v/>
      </c>
    </row>
    <row r="490" spans="7:7" x14ac:dyDescent="0.2">
      <c r="G490" t="str">
        <f t="shared" si="7"/>
        <v/>
      </c>
    </row>
    <row r="491" spans="7:7" x14ac:dyDescent="0.2">
      <c r="G491" t="str">
        <f t="shared" si="7"/>
        <v/>
      </c>
    </row>
    <row r="492" spans="7:7" x14ac:dyDescent="0.2">
      <c r="G492" t="str">
        <f t="shared" si="7"/>
        <v/>
      </c>
    </row>
    <row r="493" spans="7:7" x14ac:dyDescent="0.2">
      <c r="G493" t="str">
        <f t="shared" si="7"/>
        <v/>
      </c>
    </row>
    <row r="494" spans="7:7" x14ac:dyDescent="0.2">
      <c r="G494" t="str">
        <f t="shared" si="7"/>
        <v/>
      </c>
    </row>
    <row r="495" spans="7:7" x14ac:dyDescent="0.2">
      <c r="G495" t="str">
        <f t="shared" si="7"/>
        <v/>
      </c>
    </row>
    <row r="496" spans="7:7" x14ac:dyDescent="0.2">
      <c r="G496" t="str">
        <f t="shared" si="7"/>
        <v/>
      </c>
    </row>
    <row r="497" spans="7:7" x14ac:dyDescent="0.2">
      <c r="G497" t="str">
        <f t="shared" si="7"/>
        <v/>
      </c>
    </row>
    <row r="498" spans="7:7" x14ac:dyDescent="0.2">
      <c r="G498" t="str">
        <f t="shared" si="7"/>
        <v/>
      </c>
    </row>
    <row r="499" spans="7:7" x14ac:dyDescent="0.2">
      <c r="G499" t="str">
        <f t="shared" si="7"/>
        <v/>
      </c>
    </row>
    <row r="500" spans="7:7" x14ac:dyDescent="0.2">
      <c r="G500" t="str">
        <f t="shared" si="7"/>
        <v/>
      </c>
    </row>
    <row r="501" spans="7:7" x14ac:dyDescent="0.2">
      <c r="G501" t="str">
        <f t="shared" si="7"/>
        <v/>
      </c>
    </row>
    <row r="502" spans="7:7" x14ac:dyDescent="0.2">
      <c r="G502" t="str">
        <f t="shared" si="7"/>
        <v/>
      </c>
    </row>
    <row r="503" spans="7:7" x14ac:dyDescent="0.2">
      <c r="G503" t="str">
        <f t="shared" si="7"/>
        <v/>
      </c>
    </row>
    <row r="504" spans="7:7" x14ac:dyDescent="0.2">
      <c r="G504" t="str">
        <f t="shared" si="7"/>
        <v/>
      </c>
    </row>
    <row r="505" spans="7:7" x14ac:dyDescent="0.2">
      <c r="G505" t="str">
        <f t="shared" si="7"/>
        <v/>
      </c>
    </row>
    <row r="506" spans="7:7" x14ac:dyDescent="0.2">
      <c r="G506" t="str">
        <f t="shared" si="7"/>
        <v/>
      </c>
    </row>
    <row r="507" spans="7:7" x14ac:dyDescent="0.2">
      <c r="G507" t="str">
        <f t="shared" si="7"/>
        <v/>
      </c>
    </row>
    <row r="508" spans="7:7" x14ac:dyDescent="0.2">
      <c r="G508" t="str">
        <f t="shared" si="7"/>
        <v/>
      </c>
    </row>
    <row r="509" spans="7:7" x14ac:dyDescent="0.2">
      <c r="G509" t="str">
        <f t="shared" si="7"/>
        <v/>
      </c>
    </row>
    <row r="510" spans="7:7" x14ac:dyDescent="0.2">
      <c r="G510" t="str">
        <f t="shared" si="7"/>
        <v/>
      </c>
    </row>
    <row r="511" spans="7:7" x14ac:dyDescent="0.2">
      <c r="G511" t="str">
        <f t="shared" si="7"/>
        <v/>
      </c>
    </row>
    <row r="512" spans="7:7" x14ac:dyDescent="0.2">
      <c r="G512" t="str">
        <f t="shared" si="7"/>
        <v/>
      </c>
    </row>
    <row r="513" spans="7:7" x14ac:dyDescent="0.2">
      <c r="G513" t="str">
        <f t="shared" si="7"/>
        <v/>
      </c>
    </row>
    <row r="514" spans="7:7" x14ac:dyDescent="0.2">
      <c r="G514" t="str">
        <f t="shared" ref="G514:G577" si="8">IF(E514="","",E514*F514)</f>
        <v/>
      </c>
    </row>
    <row r="515" spans="7:7" x14ac:dyDescent="0.2">
      <c r="G515" t="str">
        <f t="shared" si="8"/>
        <v/>
      </c>
    </row>
    <row r="516" spans="7:7" x14ac:dyDescent="0.2">
      <c r="G516" t="str">
        <f t="shared" si="8"/>
        <v/>
      </c>
    </row>
    <row r="517" spans="7:7" x14ac:dyDescent="0.2">
      <c r="G517" t="str">
        <f t="shared" si="8"/>
        <v/>
      </c>
    </row>
    <row r="518" spans="7:7" x14ac:dyDescent="0.2">
      <c r="G518" t="str">
        <f t="shared" si="8"/>
        <v/>
      </c>
    </row>
    <row r="519" spans="7:7" x14ac:dyDescent="0.2">
      <c r="G519" t="str">
        <f t="shared" si="8"/>
        <v/>
      </c>
    </row>
    <row r="520" spans="7:7" x14ac:dyDescent="0.2">
      <c r="G520" t="str">
        <f t="shared" si="8"/>
        <v/>
      </c>
    </row>
    <row r="521" spans="7:7" x14ac:dyDescent="0.2">
      <c r="G521" t="str">
        <f t="shared" si="8"/>
        <v/>
      </c>
    </row>
    <row r="522" spans="7:7" x14ac:dyDescent="0.2">
      <c r="G522" t="str">
        <f t="shared" si="8"/>
        <v/>
      </c>
    </row>
    <row r="523" spans="7:7" x14ac:dyDescent="0.2">
      <c r="G523" t="str">
        <f t="shared" si="8"/>
        <v/>
      </c>
    </row>
    <row r="524" spans="7:7" x14ac:dyDescent="0.2">
      <c r="G524" t="str">
        <f t="shared" si="8"/>
        <v/>
      </c>
    </row>
    <row r="525" spans="7:7" x14ac:dyDescent="0.2">
      <c r="G525" t="str">
        <f t="shared" si="8"/>
        <v/>
      </c>
    </row>
    <row r="526" spans="7:7" x14ac:dyDescent="0.2">
      <c r="G526" t="str">
        <f t="shared" si="8"/>
        <v/>
      </c>
    </row>
    <row r="527" spans="7:7" x14ac:dyDescent="0.2">
      <c r="G527" t="str">
        <f t="shared" si="8"/>
        <v/>
      </c>
    </row>
    <row r="528" spans="7:7" x14ac:dyDescent="0.2">
      <c r="G528" t="str">
        <f t="shared" si="8"/>
        <v/>
      </c>
    </row>
    <row r="529" spans="7:7" x14ac:dyDescent="0.2">
      <c r="G529" t="str">
        <f t="shared" si="8"/>
        <v/>
      </c>
    </row>
    <row r="530" spans="7:7" x14ac:dyDescent="0.2">
      <c r="G530" t="str">
        <f t="shared" si="8"/>
        <v/>
      </c>
    </row>
    <row r="531" spans="7:7" x14ac:dyDescent="0.2">
      <c r="G531" t="str">
        <f t="shared" si="8"/>
        <v/>
      </c>
    </row>
    <row r="532" spans="7:7" x14ac:dyDescent="0.2">
      <c r="G532" t="str">
        <f t="shared" si="8"/>
        <v/>
      </c>
    </row>
    <row r="533" spans="7:7" x14ac:dyDescent="0.2">
      <c r="G533" t="str">
        <f t="shared" si="8"/>
        <v/>
      </c>
    </row>
    <row r="534" spans="7:7" x14ac:dyDescent="0.2">
      <c r="G534" t="str">
        <f t="shared" si="8"/>
        <v/>
      </c>
    </row>
    <row r="535" spans="7:7" x14ac:dyDescent="0.2">
      <c r="G535" t="str">
        <f t="shared" si="8"/>
        <v/>
      </c>
    </row>
    <row r="536" spans="7:7" x14ac:dyDescent="0.2">
      <c r="G536" t="str">
        <f t="shared" si="8"/>
        <v/>
      </c>
    </row>
    <row r="537" spans="7:7" x14ac:dyDescent="0.2">
      <c r="G537" t="str">
        <f t="shared" si="8"/>
        <v/>
      </c>
    </row>
    <row r="538" spans="7:7" x14ac:dyDescent="0.2">
      <c r="G538" t="str">
        <f t="shared" si="8"/>
        <v/>
      </c>
    </row>
    <row r="539" spans="7:7" x14ac:dyDescent="0.2">
      <c r="G539" t="str">
        <f t="shared" si="8"/>
        <v/>
      </c>
    </row>
    <row r="540" spans="7:7" x14ac:dyDescent="0.2">
      <c r="G540" t="str">
        <f t="shared" si="8"/>
        <v/>
      </c>
    </row>
    <row r="541" spans="7:7" x14ac:dyDescent="0.2">
      <c r="G541" t="str">
        <f t="shared" si="8"/>
        <v/>
      </c>
    </row>
    <row r="542" spans="7:7" x14ac:dyDescent="0.2">
      <c r="G542" t="str">
        <f t="shared" si="8"/>
        <v/>
      </c>
    </row>
    <row r="543" spans="7:7" x14ac:dyDescent="0.2">
      <c r="G543" t="str">
        <f t="shared" si="8"/>
        <v/>
      </c>
    </row>
    <row r="544" spans="7:7" x14ac:dyDescent="0.2">
      <c r="G544" t="str">
        <f t="shared" si="8"/>
        <v/>
      </c>
    </row>
    <row r="545" spans="7:7" x14ac:dyDescent="0.2">
      <c r="G545" t="str">
        <f t="shared" si="8"/>
        <v/>
      </c>
    </row>
    <row r="546" spans="7:7" x14ac:dyDescent="0.2">
      <c r="G546" t="str">
        <f t="shared" si="8"/>
        <v/>
      </c>
    </row>
    <row r="547" spans="7:7" x14ac:dyDescent="0.2">
      <c r="G547" t="str">
        <f t="shared" si="8"/>
        <v/>
      </c>
    </row>
    <row r="548" spans="7:7" x14ac:dyDescent="0.2">
      <c r="G548" t="str">
        <f t="shared" si="8"/>
        <v/>
      </c>
    </row>
    <row r="549" spans="7:7" x14ac:dyDescent="0.2">
      <c r="G549" t="str">
        <f t="shared" si="8"/>
        <v/>
      </c>
    </row>
    <row r="550" spans="7:7" x14ac:dyDescent="0.2">
      <c r="G550" t="str">
        <f t="shared" si="8"/>
        <v/>
      </c>
    </row>
    <row r="551" spans="7:7" x14ac:dyDescent="0.2">
      <c r="G551" t="str">
        <f t="shared" si="8"/>
        <v/>
      </c>
    </row>
    <row r="552" spans="7:7" x14ac:dyDescent="0.2">
      <c r="G552" t="str">
        <f t="shared" si="8"/>
        <v/>
      </c>
    </row>
    <row r="553" spans="7:7" x14ac:dyDescent="0.2">
      <c r="G553" t="str">
        <f t="shared" si="8"/>
        <v/>
      </c>
    </row>
    <row r="554" spans="7:7" x14ac:dyDescent="0.2">
      <c r="G554" t="str">
        <f t="shared" si="8"/>
        <v/>
      </c>
    </row>
    <row r="555" spans="7:7" x14ac:dyDescent="0.2">
      <c r="G555" t="str">
        <f t="shared" si="8"/>
        <v/>
      </c>
    </row>
    <row r="556" spans="7:7" x14ac:dyDescent="0.2">
      <c r="G556" t="str">
        <f t="shared" si="8"/>
        <v/>
      </c>
    </row>
    <row r="557" spans="7:7" x14ac:dyDescent="0.2">
      <c r="G557" t="str">
        <f t="shared" si="8"/>
        <v/>
      </c>
    </row>
    <row r="558" spans="7:7" x14ac:dyDescent="0.2">
      <c r="G558" t="str">
        <f t="shared" si="8"/>
        <v/>
      </c>
    </row>
    <row r="559" spans="7:7" x14ac:dyDescent="0.2">
      <c r="G559" t="str">
        <f t="shared" si="8"/>
        <v/>
      </c>
    </row>
    <row r="560" spans="7:7" x14ac:dyDescent="0.2">
      <c r="G560" t="str">
        <f t="shared" si="8"/>
        <v/>
      </c>
    </row>
    <row r="561" spans="7:7" x14ac:dyDescent="0.2">
      <c r="G561" t="str">
        <f t="shared" si="8"/>
        <v/>
      </c>
    </row>
    <row r="562" spans="7:7" x14ac:dyDescent="0.2">
      <c r="G562" t="str">
        <f t="shared" si="8"/>
        <v/>
      </c>
    </row>
    <row r="563" spans="7:7" x14ac:dyDescent="0.2">
      <c r="G563" t="str">
        <f t="shared" si="8"/>
        <v/>
      </c>
    </row>
    <row r="564" spans="7:7" x14ac:dyDescent="0.2">
      <c r="G564" t="str">
        <f t="shared" si="8"/>
        <v/>
      </c>
    </row>
    <row r="565" spans="7:7" x14ac:dyDescent="0.2">
      <c r="G565" t="str">
        <f t="shared" si="8"/>
        <v/>
      </c>
    </row>
    <row r="566" spans="7:7" x14ac:dyDescent="0.2">
      <c r="G566" t="str">
        <f t="shared" si="8"/>
        <v/>
      </c>
    </row>
    <row r="567" spans="7:7" x14ac:dyDescent="0.2">
      <c r="G567" t="str">
        <f t="shared" si="8"/>
        <v/>
      </c>
    </row>
    <row r="568" spans="7:7" x14ac:dyDescent="0.2">
      <c r="G568" t="str">
        <f t="shared" si="8"/>
        <v/>
      </c>
    </row>
    <row r="569" spans="7:7" x14ac:dyDescent="0.2">
      <c r="G569" t="str">
        <f t="shared" si="8"/>
        <v/>
      </c>
    </row>
    <row r="570" spans="7:7" x14ac:dyDescent="0.2">
      <c r="G570" t="str">
        <f t="shared" si="8"/>
        <v/>
      </c>
    </row>
    <row r="571" spans="7:7" x14ac:dyDescent="0.2">
      <c r="G571" t="str">
        <f t="shared" si="8"/>
        <v/>
      </c>
    </row>
    <row r="572" spans="7:7" x14ac:dyDescent="0.2">
      <c r="G572" t="str">
        <f t="shared" si="8"/>
        <v/>
      </c>
    </row>
    <row r="573" spans="7:7" x14ac:dyDescent="0.2">
      <c r="G573" t="str">
        <f t="shared" si="8"/>
        <v/>
      </c>
    </row>
    <row r="574" spans="7:7" x14ac:dyDescent="0.2">
      <c r="G574" t="str">
        <f t="shared" si="8"/>
        <v/>
      </c>
    </row>
    <row r="575" spans="7:7" x14ac:dyDescent="0.2">
      <c r="G575" t="str">
        <f t="shared" si="8"/>
        <v/>
      </c>
    </row>
    <row r="576" spans="7:7" x14ac:dyDescent="0.2">
      <c r="G576" t="str">
        <f t="shared" si="8"/>
        <v/>
      </c>
    </row>
    <row r="577" spans="7:7" x14ac:dyDescent="0.2">
      <c r="G577" t="str">
        <f t="shared" si="8"/>
        <v/>
      </c>
    </row>
    <row r="578" spans="7:7" x14ac:dyDescent="0.2">
      <c r="G578" t="str">
        <f t="shared" ref="G578:G641" si="9">IF(E578="","",E578*F578)</f>
        <v/>
      </c>
    </row>
    <row r="579" spans="7:7" x14ac:dyDescent="0.2">
      <c r="G579" t="str">
        <f t="shared" si="9"/>
        <v/>
      </c>
    </row>
    <row r="580" spans="7:7" x14ac:dyDescent="0.2">
      <c r="G580" t="str">
        <f t="shared" si="9"/>
        <v/>
      </c>
    </row>
    <row r="581" spans="7:7" x14ac:dyDescent="0.2">
      <c r="G581" t="str">
        <f t="shared" si="9"/>
        <v/>
      </c>
    </row>
    <row r="582" spans="7:7" x14ac:dyDescent="0.2">
      <c r="G582" t="str">
        <f t="shared" si="9"/>
        <v/>
      </c>
    </row>
    <row r="583" spans="7:7" x14ac:dyDescent="0.2">
      <c r="G583" t="str">
        <f t="shared" si="9"/>
        <v/>
      </c>
    </row>
    <row r="584" spans="7:7" x14ac:dyDescent="0.2">
      <c r="G584" t="str">
        <f t="shared" si="9"/>
        <v/>
      </c>
    </row>
    <row r="585" spans="7:7" x14ac:dyDescent="0.2">
      <c r="G585" t="str">
        <f t="shared" si="9"/>
        <v/>
      </c>
    </row>
    <row r="586" spans="7:7" x14ac:dyDescent="0.2">
      <c r="G586" t="str">
        <f t="shared" si="9"/>
        <v/>
      </c>
    </row>
    <row r="587" spans="7:7" x14ac:dyDescent="0.2">
      <c r="G587" t="str">
        <f t="shared" si="9"/>
        <v/>
      </c>
    </row>
    <row r="588" spans="7:7" x14ac:dyDescent="0.2">
      <c r="G588" t="str">
        <f t="shared" si="9"/>
        <v/>
      </c>
    </row>
    <row r="589" spans="7:7" x14ac:dyDescent="0.2">
      <c r="G589" t="str">
        <f t="shared" si="9"/>
        <v/>
      </c>
    </row>
    <row r="590" spans="7:7" x14ac:dyDescent="0.2">
      <c r="G590" t="str">
        <f t="shared" si="9"/>
        <v/>
      </c>
    </row>
    <row r="591" spans="7:7" x14ac:dyDescent="0.2">
      <c r="G591" t="str">
        <f t="shared" si="9"/>
        <v/>
      </c>
    </row>
    <row r="592" spans="7:7" x14ac:dyDescent="0.2">
      <c r="G592" t="str">
        <f t="shared" si="9"/>
        <v/>
      </c>
    </row>
    <row r="593" spans="7:7" x14ac:dyDescent="0.2">
      <c r="G593" t="str">
        <f t="shared" si="9"/>
        <v/>
      </c>
    </row>
    <row r="594" spans="7:7" x14ac:dyDescent="0.2">
      <c r="G594" t="str">
        <f t="shared" si="9"/>
        <v/>
      </c>
    </row>
    <row r="595" spans="7:7" x14ac:dyDescent="0.2">
      <c r="G595" t="str">
        <f t="shared" si="9"/>
        <v/>
      </c>
    </row>
    <row r="596" spans="7:7" x14ac:dyDescent="0.2">
      <c r="G596" t="str">
        <f t="shared" si="9"/>
        <v/>
      </c>
    </row>
    <row r="597" spans="7:7" x14ac:dyDescent="0.2">
      <c r="G597" t="str">
        <f t="shared" si="9"/>
        <v/>
      </c>
    </row>
    <row r="598" spans="7:7" x14ac:dyDescent="0.2">
      <c r="G598" t="str">
        <f t="shared" si="9"/>
        <v/>
      </c>
    </row>
    <row r="599" spans="7:7" x14ac:dyDescent="0.2">
      <c r="G599" t="str">
        <f t="shared" si="9"/>
        <v/>
      </c>
    </row>
    <row r="600" spans="7:7" x14ac:dyDescent="0.2">
      <c r="G600" t="str">
        <f t="shared" si="9"/>
        <v/>
      </c>
    </row>
    <row r="601" spans="7:7" x14ac:dyDescent="0.2">
      <c r="G601" t="str">
        <f t="shared" si="9"/>
        <v/>
      </c>
    </row>
    <row r="602" spans="7:7" x14ac:dyDescent="0.2">
      <c r="G602" t="str">
        <f t="shared" si="9"/>
        <v/>
      </c>
    </row>
    <row r="603" spans="7:7" x14ac:dyDescent="0.2">
      <c r="G603" t="str">
        <f t="shared" si="9"/>
        <v/>
      </c>
    </row>
    <row r="604" spans="7:7" x14ac:dyDescent="0.2">
      <c r="G604" t="str">
        <f t="shared" si="9"/>
        <v/>
      </c>
    </row>
    <row r="605" spans="7:7" x14ac:dyDescent="0.2">
      <c r="G605" t="str">
        <f t="shared" si="9"/>
        <v/>
      </c>
    </row>
    <row r="606" spans="7:7" x14ac:dyDescent="0.2">
      <c r="G606" t="str">
        <f t="shared" si="9"/>
        <v/>
      </c>
    </row>
    <row r="607" spans="7:7" x14ac:dyDescent="0.2">
      <c r="G607" t="str">
        <f t="shared" si="9"/>
        <v/>
      </c>
    </row>
    <row r="608" spans="7:7" x14ac:dyDescent="0.2">
      <c r="G608" t="str">
        <f t="shared" si="9"/>
        <v/>
      </c>
    </row>
    <row r="609" spans="7:7" x14ac:dyDescent="0.2">
      <c r="G609" t="str">
        <f t="shared" si="9"/>
        <v/>
      </c>
    </row>
    <row r="610" spans="7:7" x14ac:dyDescent="0.2">
      <c r="G610" t="str">
        <f t="shared" si="9"/>
        <v/>
      </c>
    </row>
    <row r="611" spans="7:7" x14ac:dyDescent="0.2">
      <c r="G611" t="str">
        <f t="shared" si="9"/>
        <v/>
      </c>
    </row>
    <row r="612" spans="7:7" x14ac:dyDescent="0.2">
      <c r="G612" t="str">
        <f t="shared" si="9"/>
        <v/>
      </c>
    </row>
    <row r="613" spans="7:7" x14ac:dyDescent="0.2">
      <c r="G613" t="str">
        <f t="shared" si="9"/>
        <v/>
      </c>
    </row>
    <row r="614" spans="7:7" x14ac:dyDescent="0.2">
      <c r="G614" t="str">
        <f t="shared" si="9"/>
        <v/>
      </c>
    </row>
    <row r="615" spans="7:7" x14ac:dyDescent="0.2">
      <c r="G615" t="str">
        <f t="shared" si="9"/>
        <v/>
      </c>
    </row>
    <row r="616" spans="7:7" x14ac:dyDescent="0.2">
      <c r="G616" t="str">
        <f t="shared" si="9"/>
        <v/>
      </c>
    </row>
    <row r="617" spans="7:7" x14ac:dyDescent="0.2">
      <c r="G617" t="str">
        <f t="shared" si="9"/>
        <v/>
      </c>
    </row>
    <row r="618" spans="7:7" x14ac:dyDescent="0.2">
      <c r="G618" t="str">
        <f t="shared" si="9"/>
        <v/>
      </c>
    </row>
    <row r="619" spans="7:7" x14ac:dyDescent="0.2">
      <c r="G619" t="str">
        <f t="shared" si="9"/>
        <v/>
      </c>
    </row>
    <row r="620" spans="7:7" x14ac:dyDescent="0.2">
      <c r="G620" t="str">
        <f t="shared" si="9"/>
        <v/>
      </c>
    </row>
    <row r="621" spans="7:7" x14ac:dyDescent="0.2">
      <c r="G621" t="str">
        <f t="shared" si="9"/>
        <v/>
      </c>
    </row>
    <row r="622" spans="7:7" x14ac:dyDescent="0.2">
      <c r="G622" t="str">
        <f t="shared" si="9"/>
        <v/>
      </c>
    </row>
    <row r="623" spans="7:7" x14ac:dyDescent="0.2">
      <c r="G623" t="str">
        <f t="shared" si="9"/>
        <v/>
      </c>
    </row>
    <row r="624" spans="7:7" x14ac:dyDescent="0.2">
      <c r="G624" t="str">
        <f t="shared" si="9"/>
        <v/>
      </c>
    </row>
    <row r="625" spans="7:7" x14ac:dyDescent="0.2">
      <c r="G625" t="str">
        <f t="shared" si="9"/>
        <v/>
      </c>
    </row>
    <row r="626" spans="7:7" x14ac:dyDescent="0.2">
      <c r="G626" t="str">
        <f t="shared" si="9"/>
        <v/>
      </c>
    </row>
    <row r="627" spans="7:7" x14ac:dyDescent="0.2">
      <c r="G627" t="str">
        <f t="shared" si="9"/>
        <v/>
      </c>
    </row>
    <row r="628" spans="7:7" x14ac:dyDescent="0.2">
      <c r="G628" t="str">
        <f t="shared" si="9"/>
        <v/>
      </c>
    </row>
    <row r="629" spans="7:7" x14ac:dyDescent="0.2">
      <c r="G629" t="str">
        <f t="shared" si="9"/>
        <v/>
      </c>
    </row>
    <row r="630" spans="7:7" x14ac:dyDescent="0.2">
      <c r="G630" t="str">
        <f t="shared" si="9"/>
        <v/>
      </c>
    </row>
    <row r="631" spans="7:7" x14ac:dyDescent="0.2">
      <c r="G631" t="str">
        <f t="shared" si="9"/>
        <v/>
      </c>
    </row>
    <row r="632" spans="7:7" x14ac:dyDescent="0.2">
      <c r="G632" t="str">
        <f t="shared" si="9"/>
        <v/>
      </c>
    </row>
    <row r="633" spans="7:7" x14ac:dyDescent="0.2">
      <c r="G633" t="str">
        <f t="shared" si="9"/>
        <v/>
      </c>
    </row>
    <row r="634" spans="7:7" x14ac:dyDescent="0.2">
      <c r="G634" t="str">
        <f t="shared" si="9"/>
        <v/>
      </c>
    </row>
    <row r="635" spans="7:7" x14ac:dyDescent="0.2">
      <c r="G635" t="str">
        <f t="shared" si="9"/>
        <v/>
      </c>
    </row>
    <row r="636" spans="7:7" x14ac:dyDescent="0.2">
      <c r="G636" t="str">
        <f t="shared" si="9"/>
        <v/>
      </c>
    </row>
    <row r="637" spans="7:7" x14ac:dyDescent="0.2">
      <c r="G637" t="str">
        <f t="shared" si="9"/>
        <v/>
      </c>
    </row>
    <row r="638" spans="7:7" x14ac:dyDescent="0.2">
      <c r="G638" t="str">
        <f t="shared" si="9"/>
        <v/>
      </c>
    </row>
    <row r="639" spans="7:7" x14ac:dyDescent="0.2">
      <c r="G639" t="str">
        <f t="shared" si="9"/>
        <v/>
      </c>
    </row>
    <row r="640" spans="7:7" x14ac:dyDescent="0.2">
      <c r="G640" t="str">
        <f t="shared" si="9"/>
        <v/>
      </c>
    </row>
    <row r="641" spans="7:7" x14ac:dyDescent="0.2">
      <c r="G641" t="str">
        <f t="shared" si="9"/>
        <v/>
      </c>
    </row>
    <row r="642" spans="7:7" x14ac:dyDescent="0.2">
      <c r="G642" t="str">
        <f t="shared" ref="G642:G705" si="10">IF(E642="","",E642*F642)</f>
        <v/>
      </c>
    </row>
    <row r="643" spans="7:7" x14ac:dyDescent="0.2">
      <c r="G643" t="str">
        <f t="shared" si="10"/>
        <v/>
      </c>
    </row>
    <row r="644" spans="7:7" x14ac:dyDescent="0.2">
      <c r="G644" t="str">
        <f t="shared" si="10"/>
        <v/>
      </c>
    </row>
    <row r="645" spans="7:7" x14ac:dyDescent="0.2">
      <c r="G645" t="str">
        <f t="shared" si="10"/>
        <v/>
      </c>
    </row>
    <row r="646" spans="7:7" x14ac:dyDescent="0.2">
      <c r="G646" t="str">
        <f t="shared" si="10"/>
        <v/>
      </c>
    </row>
    <row r="647" spans="7:7" x14ac:dyDescent="0.2">
      <c r="G647" t="str">
        <f t="shared" si="10"/>
        <v/>
      </c>
    </row>
    <row r="648" spans="7:7" x14ac:dyDescent="0.2">
      <c r="G648" t="str">
        <f t="shared" si="10"/>
        <v/>
      </c>
    </row>
    <row r="649" spans="7:7" x14ac:dyDescent="0.2">
      <c r="G649" t="str">
        <f t="shared" si="10"/>
        <v/>
      </c>
    </row>
    <row r="650" spans="7:7" x14ac:dyDescent="0.2">
      <c r="G650" t="str">
        <f t="shared" si="10"/>
        <v/>
      </c>
    </row>
    <row r="651" spans="7:7" x14ac:dyDescent="0.2">
      <c r="G651" t="str">
        <f t="shared" si="10"/>
        <v/>
      </c>
    </row>
    <row r="652" spans="7:7" x14ac:dyDescent="0.2">
      <c r="G652" t="str">
        <f t="shared" si="10"/>
        <v/>
      </c>
    </row>
    <row r="653" spans="7:7" x14ac:dyDescent="0.2">
      <c r="G653" t="str">
        <f t="shared" si="10"/>
        <v/>
      </c>
    </row>
    <row r="654" spans="7:7" x14ac:dyDescent="0.2">
      <c r="G654" t="str">
        <f t="shared" si="10"/>
        <v/>
      </c>
    </row>
    <row r="655" spans="7:7" x14ac:dyDescent="0.2">
      <c r="G655" t="str">
        <f t="shared" si="10"/>
        <v/>
      </c>
    </row>
    <row r="656" spans="7:7" x14ac:dyDescent="0.2">
      <c r="G656" t="str">
        <f t="shared" si="10"/>
        <v/>
      </c>
    </row>
    <row r="657" spans="7:7" x14ac:dyDescent="0.2">
      <c r="G657" t="str">
        <f t="shared" si="10"/>
        <v/>
      </c>
    </row>
    <row r="658" spans="7:7" x14ac:dyDescent="0.2">
      <c r="G658" t="str">
        <f t="shared" si="10"/>
        <v/>
      </c>
    </row>
    <row r="659" spans="7:7" x14ac:dyDescent="0.2">
      <c r="G659" t="str">
        <f t="shared" si="10"/>
        <v/>
      </c>
    </row>
    <row r="660" spans="7:7" x14ac:dyDescent="0.2">
      <c r="G660" t="str">
        <f t="shared" si="10"/>
        <v/>
      </c>
    </row>
    <row r="661" spans="7:7" x14ac:dyDescent="0.2">
      <c r="G661" t="str">
        <f t="shared" si="10"/>
        <v/>
      </c>
    </row>
    <row r="662" spans="7:7" x14ac:dyDescent="0.2">
      <c r="G662" t="str">
        <f t="shared" si="10"/>
        <v/>
      </c>
    </row>
    <row r="663" spans="7:7" x14ac:dyDescent="0.2">
      <c r="G663" t="str">
        <f t="shared" si="10"/>
        <v/>
      </c>
    </row>
    <row r="664" spans="7:7" x14ac:dyDescent="0.2">
      <c r="G664" t="str">
        <f t="shared" si="10"/>
        <v/>
      </c>
    </row>
    <row r="665" spans="7:7" x14ac:dyDescent="0.2">
      <c r="G665" t="str">
        <f t="shared" si="10"/>
        <v/>
      </c>
    </row>
    <row r="666" spans="7:7" x14ac:dyDescent="0.2">
      <c r="G666" t="str">
        <f t="shared" si="10"/>
        <v/>
      </c>
    </row>
    <row r="667" spans="7:7" x14ac:dyDescent="0.2">
      <c r="G667" t="str">
        <f t="shared" si="10"/>
        <v/>
      </c>
    </row>
    <row r="668" spans="7:7" x14ac:dyDescent="0.2">
      <c r="G668" t="str">
        <f t="shared" si="10"/>
        <v/>
      </c>
    </row>
    <row r="669" spans="7:7" x14ac:dyDescent="0.2">
      <c r="G669" t="str">
        <f t="shared" si="10"/>
        <v/>
      </c>
    </row>
    <row r="670" spans="7:7" x14ac:dyDescent="0.2">
      <c r="G670" t="str">
        <f t="shared" si="10"/>
        <v/>
      </c>
    </row>
    <row r="671" spans="7:7" x14ac:dyDescent="0.2">
      <c r="G671" t="str">
        <f t="shared" si="10"/>
        <v/>
      </c>
    </row>
    <row r="672" spans="7:7" x14ac:dyDescent="0.2">
      <c r="G672" t="str">
        <f t="shared" si="10"/>
        <v/>
      </c>
    </row>
    <row r="673" spans="7:7" x14ac:dyDescent="0.2">
      <c r="G673" t="str">
        <f t="shared" si="10"/>
        <v/>
      </c>
    </row>
    <row r="674" spans="7:7" x14ac:dyDescent="0.2">
      <c r="G674" t="str">
        <f t="shared" si="10"/>
        <v/>
      </c>
    </row>
    <row r="675" spans="7:7" x14ac:dyDescent="0.2">
      <c r="G675" t="str">
        <f t="shared" si="10"/>
        <v/>
      </c>
    </row>
    <row r="676" spans="7:7" x14ac:dyDescent="0.2">
      <c r="G676" t="str">
        <f t="shared" si="10"/>
        <v/>
      </c>
    </row>
    <row r="677" spans="7:7" x14ac:dyDescent="0.2">
      <c r="G677" t="str">
        <f t="shared" si="10"/>
        <v/>
      </c>
    </row>
    <row r="678" spans="7:7" x14ac:dyDescent="0.2">
      <c r="G678" t="str">
        <f t="shared" si="10"/>
        <v/>
      </c>
    </row>
    <row r="679" spans="7:7" x14ac:dyDescent="0.2">
      <c r="G679" t="str">
        <f t="shared" si="10"/>
        <v/>
      </c>
    </row>
    <row r="680" spans="7:7" x14ac:dyDescent="0.2">
      <c r="G680" t="str">
        <f t="shared" si="10"/>
        <v/>
      </c>
    </row>
    <row r="681" spans="7:7" x14ac:dyDescent="0.2">
      <c r="G681" t="str">
        <f t="shared" si="10"/>
        <v/>
      </c>
    </row>
    <row r="682" spans="7:7" x14ac:dyDescent="0.2">
      <c r="G682" t="str">
        <f t="shared" si="10"/>
        <v/>
      </c>
    </row>
    <row r="683" spans="7:7" x14ac:dyDescent="0.2">
      <c r="G683" t="str">
        <f t="shared" si="10"/>
        <v/>
      </c>
    </row>
    <row r="684" spans="7:7" x14ac:dyDescent="0.2">
      <c r="G684" t="str">
        <f t="shared" si="10"/>
        <v/>
      </c>
    </row>
    <row r="685" spans="7:7" x14ac:dyDescent="0.2">
      <c r="G685" t="str">
        <f t="shared" si="10"/>
        <v/>
      </c>
    </row>
    <row r="686" spans="7:7" x14ac:dyDescent="0.2">
      <c r="G686" t="str">
        <f t="shared" si="10"/>
        <v/>
      </c>
    </row>
    <row r="687" spans="7:7" x14ac:dyDescent="0.2">
      <c r="G687" t="str">
        <f t="shared" si="10"/>
        <v/>
      </c>
    </row>
    <row r="688" spans="7:7" x14ac:dyDescent="0.2">
      <c r="G688" t="str">
        <f t="shared" si="10"/>
        <v/>
      </c>
    </row>
    <row r="689" spans="7:7" x14ac:dyDescent="0.2">
      <c r="G689" t="str">
        <f t="shared" si="10"/>
        <v/>
      </c>
    </row>
    <row r="690" spans="7:7" x14ac:dyDescent="0.2">
      <c r="G690" t="str">
        <f t="shared" si="10"/>
        <v/>
      </c>
    </row>
    <row r="691" spans="7:7" x14ac:dyDescent="0.2">
      <c r="G691" t="str">
        <f t="shared" si="10"/>
        <v/>
      </c>
    </row>
    <row r="692" spans="7:7" x14ac:dyDescent="0.2">
      <c r="G692" t="str">
        <f t="shared" si="10"/>
        <v/>
      </c>
    </row>
    <row r="693" spans="7:7" x14ac:dyDescent="0.2">
      <c r="G693" t="str">
        <f t="shared" si="10"/>
        <v/>
      </c>
    </row>
    <row r="694" spans="7:7" x14ac:dyDescent="0.2">
      <c r="G694" t="str">
        <f t="shared" si="10"/>
        <v/>
      </c>
    </row>
    <row r="695" spans="7:7" x14ac:dyDescent="0.2">
      <c r="G695" t="str">
        <f t="shared" si="10"/>
        <v/>
      </c>
    </row>
    <row r="696" spans="7:7" x14ac:dyDescent="0.2">
      <c r="G696" t="str">
        <f t="shared" si="10"/>
        <v/>
      </c>
    </row>
    <row r="697" spans="7:7" x14ac:dyDescent="0.2">
      <c r="G697" t="str">
        <f t="shared" si="10"/>
        <v/>
      </c>
    </row>
    <row r="698" spans="7:7" x14ac:dyDescent="0.2">
      <c r="G698" t="str">
        <f t="shared" si="10"/>
        <v/>
      </c>
    </row>
    <row r="699" spans="7:7" x14ac:dyDescent="0.2">
      <c r="G699" t="str">
        <f t="shared" si="10"/>
        <v/>
      </c>
    </row>
    <row r="700" spans="7:7" x14ac:dyDescent="0.2">
      <c r="G700" t="str">
        <f t="shared" si="10"/>
        <v/>
      </c>
    </row>
    <row r="701" spans="7:7" x14ac:dyDescent="0.2">
      <c r="G701" t="str">
        <f t="shared" si="10"/>
        <v/>
      </c>
    </row>
    <row r="702" spans="7:7" x14ac:dyDescent="0.2">
      <c r="G702" t="str">
        <f t="shared" si="10"/>
        <v/>
      </c>
    </row>
    <row r="703" spans="7:7" x14ac:dyDescent="0.2">
      <c r="G703" t="str">
        <f t="shared" si="10"/>
        <v/>
      </c>
    </row>
    <row r="704" spans="7:7" x14ac:dyDescent="0.2">
      <c r="G704" t="str">
        <f t="shared" si="10"/>
        <v/>
      </c>
    </row>
    <row r="705" spans="7:7" x14ac:dyDescent="0.2">
      <c r="G705" t="str">
        <f t="shared" si="10"/>
        <v/>
      </c>
    </row>
    <row r="706" spans="7:7" x14ac:dyDescent="0.2">
      <c r="G706" t="str">
        <f t="shared" ref="G706:G769" si="11">IF(E706="","",E706*F706)</f>
        <v/>
      </c>
    </row>
    <row r="707" spans="7:7" x14ac:dyDescent="0.2">
      <c r="G707" t="str">
        <f t="shared" si="11"/>
        <v/>
      </c>
    </row>
    <row r="708" spans="7:7" x14ac:dyDescent="0.2">
      <c r="G708" t="str">
        <f t="shared" si="11"/>
        <v/>
      </c>
    </row>
    <row r="709" spans="7:7" x14ac:dyDescent="0.2">
      <c r="G709" t="str">
        <f t="shared" si="11"/>
        <v/>
      </c>
    </row>
    <row r="710" spans="7:7" x14ac:dyDescent="0.2">
      <c r="G710" t="str">
        <f t="shared" si="11"/>
        <v/>
      </c>
    </row>
    <row r="711" spans="7:7" x14ac:dyDescent="0.2">
      <c r="G711" t="str">
        <f t="shared" si="11"/>
        <v/>
      </c>
    </row>
    <row r="712" spans="7:7" x14ac:dyDescent="0.2">
      <c r="G712" t="str">
        <f t="shared" si="11"/>
        <v/>
      </c>
    </row>
    <row r="713" spans="7:7" x14ac:dyDescent="0.2">
      <c r="G713" t="str">
        <f t="shared" si="11"/>
        <v/>
      </c>
    </row>
    <row r="714" spans="7:7" x14ac:dyDescent="0.2">
      <c r="G714" t="str">
        <f t="shared" si="11"/>
        <v/>
      </c>
    </row>
    <row r="715" spans="7:7" x14ac:dyDescent="0.2">
      <c r="G715" t="str">
        <f t="shared" si="11"/>
        <v/>
      </c>
    </row>
    <row r="716" spans="7:7" x14ac:dyDescent="0.2">
      <c r="G716" t="str">
        <f t="shared" si="11"/>
        <v/>
      </c>
    </row>
    <row r="717" spans="7:7" x14ac:dyDescent="0.2">
      <c r="G717" t="str">
        <f t="shared" si="11"/>
        <v/>
      </c>
    </row>
    <row r="718" spans="7:7" x14ac:dyDescent="0.2">
      <c r="G718" t="str">
        <f t="shared" si="11"/>
        <v/>
      </c>
    </row>
    <row r="719" spans="7:7" x14ac:dyDescent="0.2">
      <c r="G719" t="str">
        <f t="shared" si="11"/>
        <v/>
      </c>
    </row>
    <row r="720" spans="7:7" x14ac:dyDescent="0.2">
      <c r="G720" t="str">
        <f t="shared" si="11"/>
        <v/>
      </c>
    </row>
    <row r="721" spans="7:7" x14ac:dyDescent="0.2">
      <c r="G721" t="str">
        <f t="shared" si="11"/>
        <v/>
      </c>
    </row>
    <row r="722" spans="7:7" x14ac:dyDescent="0.2">
      <c r="G722" t="str">
        <f t="shared" si="11"/>
        <v/>
      </c>
    </row>
    <row r="723" spans="7:7" x14ac:dyDescent="0.2">
      <c r="G723" t="str">
        <f t="shared" si="11"/>
        <v/>
      </c>
    </row>
    <row r="724" spans="7:7" x14ac:dyDescent="0.2">
      <c r="G724" t="str">
        <f t="shared" si="11"/>
        <v/>
      </c>
    </row>
    <row r="725" spans="7:7" x14ac:dyDescent="0.2">
      <c r="G725" t="str">
        <f t="shared" si="11"/>
        <v/>
      </c>
    </row>
    <row r="726" spans="7:7" x14ac:dyDescent="0.2">
      <c r="G726" t="str">
        <f t="shared" si="11"/>
        <v/>
      </c>
    </row>
    <row r="727" spans="7:7" x14ac:dyDescent="0.2">
      <c r="G727" t="str">
        <f t="shared" si="11"/>
        <v/>
      </c>
    </row>
    <row r="728" spans="7:7" x14ac:dyDescent="0.2">
      <c r="G728" t="str">
        <f t="shared" si="11"/>
        <v/>
      </c>
    </row>
    <row r="729" spans="7:7" x14ac:dyDescent="0.2">
      <c r="G729" t="str">
        <f t="shared" si="11"/>
        <v/>
      </c>
    </row>
    <row r="730" spans="7:7" x14ac:dyDescent="0.2">
      <c r="G730" t="str">
        <f t="shared" si="11"/>
        <v/>
      </c>
    </row>
    <row r="731" spans="7:7" x14ac:dyDescent="0.2">
      <c r="G731" t="str">
        <f t="shared" si="11"/>
        <v/>
      </c>
    </row>
    <row r="732" spans="7:7" x14ac:dyDescent="0.2">
      <c r="G732" t="str">
        <f t="shared" si="11"/>
        <v/>
      </c>
    </row>
    <row r="733" spans="7:7" x14ac:dyDescent="0.2">
      <c r="G733" t="str">
        <f t="shared" si="11"/>
        <v/>
      </c>
    </row>
    <row r="734" spans="7:7" x14ac:dyDescent="0.2">
      <c r="G734" t="str">
        <f t="shared" si="11"/>
        <v/>
      </c>
    </row>
    <row r="735" spans="7:7" x14ac:dyDescent="0.2">
      <c r="G735" t="str">
        <f t="shared" si="11"/>
        <v/>
      </c>
    </row>
    <row r="736" spans="7:7" x14ac:dyDescent="0.2">
      <c r="G736" t="str">
        <f t="shared" si="11"/>
        <v/>
      </c>
    </row>
    <row r="737" spans="7:7" x14ac:dyDescent="0.2">
      <c r="G737" t="str">
        <f t="shared" si="11"/>
        <v/>
      </c>
    </row>
    <row r="738" spans="7:7" x14ac:dyDescent="0.2">
      <c r="G738" t="str">
        <f t="shared" si="11"/>
        <v/>
      </c>
    </row>
    <row r="739" spans="7:7" x14ac:dyDescent="0.2">
      <c r="G739" t="str">
        <f t="shared" si="11"/>
        <v/>
      </c>
    </row>
    <row r="740" spans="7:7" x14ac:dyDescent="0.2">
      <c r="G740" t="str">
        <f t="shared" si="11"/>
        <v/>
      </c>
    </row>
    <row r="741" spans="7:7" x14ac:dyDescent="0.2">
      <c r="G741" t="str">
        <f t="shared" si="11"/>
        <v/>
      </c>
    </row>
    <row r="742" spans="7:7" x14ac:dyDescent="0.2">
      <c r="G742" t="str">
        <f t="shared" si="11"/>
        <v/>
      </c>
    </row>
    <row r="743" spans="7:7" x14ac:dyDescent="0.2">
      <c r="G743" t="str">
        <f t="shared" si="11"/>
        <v/>
      </c>
    </row>
    <row r="744" spans="7:7" x14ac:dyDescent="0.2">
      <c r="G744" t="str">
        <f t="shared" si="11"/>
        <v/>
      </c>
    </row>
    <row r="745" spans="7:7" x14ac:dyDescent="0.2">
      <c r="G745" t="str">
        <f t="shared" si="11"/>
        <v/>
      </c>
    </row>
    <row r="746" spans="7:7" x14ac:dyDescent="0.2">
      <c r="G746" t="str">
        <f t="shared" si="11"/>
        <v/>
      </c>
    </row>
    <row r="747" spans="7:7" x14ac:dyDescent="0.2">
      <c r="G747" t="str">
        <f t="shared" si="11"/>
        <v/>
      </c>
    </row>
    <row r="748" spans="7:7" x14ac:dyDescent="0.2">
      <c r="G748" t="str">
        <f t="shared" si="11"/>
        <v/>
      </c>
    </row>
    <row r="749" spans="7:7" x14ac:dyDescent="0.2">
      <c r="G749" t="str">
        <f t="shared" si="11"/>
        <v/>
      </c>
    </row>
    <row r="750" spans="7:7" x14ac:dyDescent="0.2">
      <c r="G750" t="str">
        <f t="shared" si="11"/>
        <v/>
      </c>
    </row>
    <row r="751" spans="7:7" x14ac:dyDescent="0.2">
      <c r="G751" t="str">
        <f t="shared" si="11"/>
        <v/>
      </c>
    </row>
    <row r="752" spans="7:7" x14ac:dyDescent="0.2">
      <c r="G752" t="str">
        <f t="shared" si="11"/>
        <v/>
      </c>
    </row>
    <row r="753" spans="7:7" x14ac:dyDescent="0.2">
      <c r="G753" t="str">
        <f t="shared" si="11"/>
        <v/>
      </c>
    </row>
    <row r="754" spans="7:7" x14ac:dyDescent="0.2">
      <c r="G754" t="str">
        <f t="shared" si="11"/>
        <v/>
      </c>
    </row>
    <row r="755" spans="7:7" x14ac:dyDescent="0.2">
      <c r="G755" t="str">
        <f t="shared" si="11"/>
        <v/>
      </c>
    </row>
    <row r="756" spans="7:7" x14ac:dyDescent="0.2">
      <c r="G756" t="str">
        <f t="shared" si="11"/>
        <v/>
      </c>
    </row>
    <row r="757" spans="7:7" x14ac:dyDescent="0.2">
      <c r="G757" t="str">
        <f t="shared" si="11"/>
        <v/>
      </c>
    </row>
    <row r="758" spans="7:7" x14ac:dyDescent="0.2">
      <c r="G758" t="str">
        <f t="shared" si="11"/>
        <v/>
      </c>
    </row>
    <row r="759" spans="7:7" x14ac:dyDescent="0.2">
      <c r="G759" t="str">
        <f t="shared" si="11"/>
        <v/>
      </c>
    </row>
    <row r="760" spans="7:7" x14ac:dyDescent="0.2">
      <c r="G760" t="str">
        <f t="shared" si="11"/>
        <v/>
      </c>
    </row>
    <row r="761" spans="7:7" x14ac:dyDescent="0.2">
      <c r="G761" t="str">
        <f t="shared" si="11"/>
        <v/>
      </c>
    </row>
    <row r="762" spans="7:7" x14ac:dyDescent="0.2">
      <c r="G762" t="str">
        <f t="shared" si="11"/>
        <v/>
      </c>
    </row>
    <row r="763" spans="7:7" x14ac:dyDescent="0.2">
      <c r="G763" t="str">
        <f t="shared" si="11"/>
        <v/>
      </c>
    </row>
    <row r="764" spans="7:7" x14ac:dyDescent="0.2">
      <c r="G764" t="str">
        <f t="shared" si="11"/>
        <v/>
      </c>
    </row>
    <row r="765" spans="7:7" x14ac:dyDescent="0.2">
      <c r="G765" t="str">
        <f t="shared" si="11"/>
        <v/>
      </c>
    </row>
    <row r="766" spans="7:7" x14ac:dyDescent="0.2">
      <c r="G766" t="str">
        <f t="shared" si="11"/>
        <v/>
      </c>
    </row>
    <row r="767" spans="7:7" x14ac:dyDescent="0.2">
      <c r="G767" t="str">
        <f t="shared" si="11"/>
        <v/>
      </c>
    </row>
    <row r="768" spans="7:7" x14ac:dyDescent="0.2">
      <c r="G768" t="str">
        <f t="shared" si="11"/>
        <v/>
      </c>
    </row>
    <row r="769" spans="7:7" x14ac:dyDescent="0.2">
      <c r="G769" t="str">
        <f t="shared" si="11"/>
        <v/>
      </c>
    </row>
    <row r="770" spans="7:7" x14ac:dyDescent="0.2">
      <c r="G770" t="str">
        <f t="shared" ref="G770:G833" si="12">IF(E770="","",E770*F770)</f>
        <v/>
      </c>
    </row>
    <row r="771" spans="7:7" x14ac:dyDescent="0.2">
      <c r="G771" t="str">
        <f t="shared" si="12"/>
        <v/>
      </c>
    </row>
    <row r="772" spans="7:7" x14ac:dyDescent="0.2">
      <c r="G772" t="str">
        <f t="shared" si="12"/>
        <v/>
      </c>
    </row>
    <row r="773" spans="7:7" x14ac:dyDescent="0.2">
      <c r="G773" t="str">
        <f t="shared" si="12"/>
        <v/>
      </c>
    </row>
    <row r="774" spans="7:7" x14ac:dyDescent="0.2">
      <c r="G774" t="str">
        <f t="shared" si="12"/>
        <v/>
      </c>
    </row>
    <row r="775" spans="7:7" x14ac:dyDescent="0.2">
      <c r="G775" t="str">
        <f t="shared" si="12"/>
        <v/>
      </c>
    </row>
    <row r="776" spans="7:7" x14ac:dyDescent="0.2">
      <c r="G776" t="str">
        <f t="shared" si="12"/>
        <v/>
      </c>
    </row>
    <row r="777" spans="7:7" x14ac:dyDescent="0.2">
      <c r="G777" t="str">
        <f t="shared" si="12"/>
        <v/>
      </c>
    </row>
    <row r="778" spans="7:7" x14ac:dyDescent="0.2">
      <c r="G778" t="str">
        <f t="shared" si="12"/>
        <v/>
      </c>
    </row>
    <row r="779" spans="7:7" x14ac:dyDescent="0.2">
      <c r="G779" t="str">
        <f t="shared" si="12"/>
        <v/>
      </c>
    </row>
    <row r="780" spans="7:7" x14ac:dyDescent="0.2">
      <c r="G780" t="str">
        <f t="shared" si="12"/>
        <v/>
      </c>
    </row>
    <row r="781" spans="7:7" x14ac:dyDescent="0.2">
      <c r="G781" t="str">
        <f t="shared" si="12"/>
        <v/>
      </c>
    </row>
    <row r="782" spans="7:7" x14ac:dyDescent="0.2">
      <c r="G782" t="str">
        <f t="shared" si="12"/>
        <v/>
      </c>
    </row>
    <row r="783" spans="7:7" x14ac:dyDescent="0.2">
      <c r="G783" t="str">
        <f t="shared" si="12"/>
        <v/>
      </c>
    </row>
    <row r="784" spans="7:7" x14ac:dyDescent="0.2">
      <c r="G784" t="str">
        <f t="shared" si="12"/>
        <v/>
      </c>
    </row>
    <row r="785" spans="7:7" x14ac:dyDescent="0.2">
      <c r="G785" t="str">
        <f t="shared" si="12"/>
        <v/>
      </c>
    </row>
    <row r="786" spans="7:7" x14ac:dyDescent="0.2">
      <c r="G786" t="str">
        <f t="shared" si="12"/>
        <v/>
      </c>
    </row>
    <row r="787" spans="7:7" x14ac:dyDescent="0.2">
      <c r="G787" t="str">
        <f t="shared" si="12"/>
        <v/>
      </c>
    </row>
    <row r="788" spans="7:7" x14ac:dyDescent="0.2">
      <c r="G788" t="str">
        <f t="shared" si="12"/>
        <v/>
      </c>
    </row>
    <row r="789" spans="7:7" x14ac:dyDescent="0.2">
      <c r="G789" t="str">
        <f t="shared" si="12"/>
        <v/>
      </c>
    </row>
    <row r="790" spans="7:7" x14ac:dyDescent="0.2">
      <c r="G790" t="str">
        <f t="shared" si="12"/>
        <v/>
      </c>
    </row>
    <row r="791" spans="7:7" x14ac:dyDescent="0.2">
      <c r="G791" t="str">
        <f t="shared" si="12"/>
        <v/>
      </c>
    </row>
    <row r="792" spans="7:7" x14ac:dyDescent="0.2">
      <c r="G792" t="str">
        <f t="shared" si="12"/>
        <v/>
      </c>
    </row>
    <row r="793" spans="7:7" x14ac:dyDescent="0.2">
      <c r="G793" t="str">
        <f t="shared" si="12"/>
        <v/>
      </c>
    </row>
    <row r="794" spans="7:7" x14ac:dyDescent="0.2">
      <c r="G794" t="str">
        <f t="shared" si="12"/>
        <v/>
      </c>
    </row>
    <row r="795" spans="7:7" x14ac:dyDescent="0.2">
      <c r="G795" t="str">
        <f t="shared" si="12"/>
        <v/>
      </c>
    </row>
    <row r="796" spans="7:7" x14ac:dyDescent="0.2">
      <c r="G796" t="str">
        <f t="shared" si="12"/>
        <v/>
      </c>
    </row>
    <row r="797" spans="7:7" x14ac:dyDescent="0.2">
      <c r="G797" t="str">
        <f t="shared" si="12"/>
        <v/>
      </c>
    </row>
    <row r="798" spans="7:7" x14ac:dyDescent="0.2">
      <c r="G798" t="str">
        <f t="shared" si="12"/>
        <v/>
      </c>
    </row>
    <row r="799" spans="7:7" x14ac:dyDescent="0.2">
      <c r="G799" t="str">
        <f t="shared" si="12"/>
        <v/>
      </c>
    </row>
    <row r="800" spans="7:7" x14ac:dyDescent="0.2">
      <c r="G800" t="str">
        <f t="shared" si="12"/>
        <v/>
      </c>
    </row>
    <row r="801" spans="7:7" x14ac:dyDescent="0.2">
      <c r="G801" t="str">
        <f t="shared" si="12"/>
        <v/>
      </c>
    </row>
    <row r="802" spans="7:7" x14ac:dyDescent="0.2">
      <c r="G802" t="str">
        <f t="shared" si="12"/>
        <v/>
      </c>
    </row>
    <row r="803" spans="7:7" x14ac:dyDescent="0.2">
      <c r="G803" t="str">
        <f t="shared" si="12"/>
        <v/>
      </c>
    </row>
    <row r="804" spans="7:7" x14ac:dyDescent="0.2">
      <c r="G804" t="str">
        <f t="shared" si="12"/>
        <v/>
      </c>
    </row>
    <row r="805" spans="7:7" x14ac:dyDescent="0.2">
      <c r="G805" t="str">
        <f t="shared" si="12"/>
        <v/>
      </c>
    </row>
    <row r="806" spans="7:7" x14ac:dyDescent="0.2">
      <c r="G806" t="str">
        <f t="shared" si="12"/>
        <v/>
      </c>
    </row>
    <row r="807" spans="7:7" x14ac:dyDescent="0.2">
      <c r="G807" t="str">
        <f t="shared" si="12"/>
        <v/>
      </c>
    </row>
    <row r="808" spans="7:7" x14ac:dyDescent="0.2">
      <c r="G808" t="str">
        <f t="shared" si="12"/>
        <v/>
      </c>
    </row>
    <row r="809" spans="7:7" x14ac:dyDescent="0.2">
      <c r="G809" t="str">
        <f t="shared" si="12"/>
        <v/>
      </c>
    </row>
    <row r="810" spans="7:7" x14ac:dyDescent="0.2">
      <c r="G810" t="str">
        <f t="shared" si="12"/>
        <v/>
      </c>
    </row>
    <row r="811" spans="7:7" x14ac:dyDescent="0.2">
      <c r="G811" t="str">
        <f t="shared" si="12"/>
        <v/>
      </c>
    </row>
    <row r="812" spans="7:7" x14ac:dyDescent="0.2">
      <c r="G812" t="str">
        <f t="shared" si="12"/>
        <v/>
      </c>
    </row>
    <row r="813" spans="7:7" x14ac:dyDescent="0.2">
      <c r="G813" t="str">
        <f t="shared" si="12"/>
        <v/>
      </c>
    </row>
    <row r="814" spans="7:7" x14ac:dyDescent="0.2">
      <c r="G814" t="str">
        <f t="shared" si="12"/>
        <v/>
      </c>
    </row>
    <row r="815" spans="7:7" x14ac:dyDescent="0.2">
      <c r="G815" t="str">
        <f t="shared" si="12"/>
        <v/>
      </c>
    </row>
    <row r="816" spans="7:7" x14ac:dyDescent="0.2">
      <c r="G816" t="str">
        <f t="shared" si="12"/>
        <v/>
      </c>
    </row>
    <row r="817" spans="7:7" x14ac:dyDescent="0.2">
      <c r="G817" t="str">
        <f t="shared" si="12"/>
        <v/>
      </c>
    </row>
    <row r="818" spans="7:7" x14ac:dyDescent="0.2">
      <c r="G818" t="str">
        <f t="shared" si="12"/>
        <v/>
      </c>
    </row>
    <row r="819" spans="7:7" x14ac:dyDescent="0.2">
      <c r="G819" t="str">
        <f t="shared" si="12"/>
        <v/>
      </c>
    </row>
    <row r="820" spans="7:7" x14ac:dyDescent="0.2">
      <c r="G820" t="str">
        <f t="shared" si="12"/>
        <v/>
      </c>
    </row>
    <row r="821" spans="7:7" x14ac:dyDescent="0.2">
      <c r="G821" t="str">
        <f t="shared" si="12"/>
        <v/>
      </c>
    </row>
    <row r="822" spans="7:7" x14ac:dyDescent="0.2">
      <c r="G822" t="str">
        <f t="shared" si="12"/>
        <v/>
      </c>
    </row>
    <row r="823" spans="7:7" x14ac:dyDescent="0.2">
      <c r="G823" t="str">
        <f t="shared" si="12"/>
        <v/>
      </c>
    </row>
    <row r="824" spans="7:7" x14ac:dyDescent="0.2">
      <c r="G824" t="str">
        <f t="shared" si="12"/>
        <v/>
      </c>
    </row>
    <row r="825" spans="7:7" x14ac:dyDescent="0.2">
      <c r="G825" t="str">
        <f t="shared" si="12"/>
        <v/>
      </c>
    </row>
    <row r="826" spans="7:7" x14ac:dyDescent="0.2">
      <c r="G826" t="str">
        <f t="shared" si="12"/>
        <v/>
      </c>
    </row>
    <row r="827" spans="7:7" x14ac:dyDescent="0.2">
      <c r="G827" t="str">
        <f t="shared" si="12"/>
        <v/>
      </c>
    </row>
    <row r="828" spans="7:7" x14ac:dyDescent="0.2">
      <c r="G828" t="str">
        <f t="shared" si="12"/>
        <v/>
      </c>
    </row>
    <row r="829" spans="7:7" x14ac:dyDescent="0.2">
      <c r="G829" t="str">
        <f t="shared" si="12"/>
        <v/>
      </c>
    </row>
    <row r="830" spans="7:7" x14ac:dyDescent="0.2">
      <c r="G830" t="str">
        <f t="shared" si="12"/>
        <v/>
      </c>
    </row>
    <row r="831" spans="7:7" x14ac:dyDescent="0.2">
      <c r="G831" t="str">
        <f t="shared" si="12"/>
        <v/>
      </c>
    </row>
    <row r="832" spans="7:7" x14ac:dyDescent="0.2">
      <c r="G832" t="str">
        <f t="shared" si="12"/>
        <v/>
      </c>
    </row>
    <row r="833" spans="7:7" x14ac:dyDescent="0.2">
      <c r="G833" t="str">
        <f t="shared" si="12"/>
        <v/>
      </c>
    </row>
    <row r="834" spans="7:7" x14ac:dyDescent="0.2">
      <c r="G834" t="str">
        <f t="shared" ref="G834:G897" si="13">IF(E834="","",E834*F834)</f>
        <v/>
      </c>
    </row>
    <row r="835" spans="7:7" x14ac:dyDescent="0.2">
      <c r="G835" t="str">
        <f t="shared" si="13"/>
        <v/>
      </c>
    </row>
    <row r="836" spans="7:7" x14ac:dyDescent="0.2">
      <c r="G836" t="str">
        <f t="shared" si="13"/>
        <v/>
      </c>
    </row>
    <row r="837" spans="7:7" x14ac:dyDescent="0.2">
      <c r="G837" t="str">
        <f t="shared" si="13"/>
        <v/>
      </c>
    </row>
    <row r="838" spans="7:7" x14ac:dyDescent="0.2">
      <c r="G838" t="str">
        <f t="shared" si="13"/>
        <v/>
      </c>
    </row>
    <row r="839" spans="7:7" x14ac:dyDescent="0.2">
      <c r="G839" t="str">
        <f t="shared" si="13"/>
        <v/>
      </c>
    </row>
    <row r="840" spans="7:7" x14ac:dyDescent="0.2">
      <c r="G840" t="str">
        <f t="shared" si="13"/>
        <v/>
      </c>
    </row>
    <row r="841" spans="7:7" x14ac:dyDescent="0.2">
      <c r="G841" t="str">
        <f t="shared" si="13"/>
        <v/>
      </c>
    </row>
    <row r="842" spans="7:7" x14ac:dyDescent="0.2">
      <c r="G842" t="str">
        <f t="shared" si="13"/>
        <v/>
      </c>
    </row>
    <row r="843" spans="7:7" x14ac:dyDescent="0.2">
      <c r="G843" t="str">
        <f t="shared" si="13"/>
        <v/>
      </c>
    </row>
    <row r="844" spans="7:7" x14ac:dyDescent="0.2">
      <c r="G844" t="str">
        <f t="shared" si="13"/>
        <v/>
      </c>
    </row>
    <row r="845" spans="7:7" x14ac:dyDescent="0.2">
      <c r="G845" t="str">
        <f t="shared" si="13"/>
        <v/>
      </c>
    </row>
    <row r="846" spans="7:7" x14ac:dyDescent="0.2">
      <c r="G846" t="str">
        <f t="shared" si="13"/>
        <v/>
      </c>
    </row>
    <row r="847" spans="7:7" x14ac:dyDescent="0.2">
      <c r="G847" t="str">
        <f t="shared" si="13"/>
        <v/>
      </c>
    </row>
    <row r="848" spans="7:7" x14ac:dyDescent="0.2">
      <c r="G848" t="str">
        <f t="shared" si="13"/>
        <v/>
      </c>
    </row>
    <row r="849" spans="7:7" x14ac:dyDescent="0.2">
      <c r="G849" t="str">
        <f t="shared" si="13"/>
        <v/>
      </c>
    </row>
    <row r="850" spans="7:7" x14ac:dyDescent="0.2">
      <c r="G850" t="str">
        <f t="shared" si="13"/>
        <v/>
      </c>
    </row>
    <row r="851" spans="7:7" x14ac:dyDescent="0.2">
      <c r="G851" t="str">
        <f t="shared" si="13"/>
        <v/>
      </c>
    </row>
    <row r="852" spans="7:7" x14ac:dyDescent="0.2">
      <c r="G852" t="str">
        <f t="shared" si="13"/>
        <v/>
      </c>
    </row>
    <row r="853" spans="7:7" x14ac:dyDescent="0.2">
      <c r="G853" t="str">
        <f t="shared" si="13"/>
        <v/>
      </c>
    </row>
    <row r="854" spans="7:7" x14ac:dyDescent="0.2">
      <c r="G854" t="str">
        <f t="shared" si="13"/>
        <v/>
      </c>
    </row>
    <row r="855" spans="7:7" x14ac:dyDescent="0.2">
      <c r="G855" t="str">
        <f t="shared" si="13"/>
        <v/>
      </c>
    </row>
    <row r="856" spans="7:7" x14ac:dyDescent="0.2">
      <c r="G856" t="str">
        <f t="shared" si="13"/>
        <v/>
      </c>
    </row>
    <row r="857" spans="7:7" x14ac:dyDescent="0.2">
      <c r="G857" t="str">
        <f t="shared" si="13"/>
        <v/>
      </c>
    </row>
    <row r="858" spans="7:7" x14ac:dyDescent="0.2">
      <c r="G858" t="str">
        <f t="shared" si="13"/>
        <v/>
      </c>
    </row>
    <row r="859" spans="7:7" x14ac:dyDescent="0.2">
      <c r="G859" t="str">
        <f t="shared" si="13"/>
        <v/>
      </c>
    </row>
    <row r="860" spans="7:7" x14ac:dyDescent="0.2">
      <c r="G860" t="str">
        <f t="shared" si="13"/>
        <v/>
      </c>
    </row>
    <row r="861" spans="7:7" x14ac:dyDescent="0.2">
      <c r="G861" t="str">
        <f t="shared" si="13"/>
        <v/>
      </c>
    </row>
    <row r="862" spans="7:7" x14ac:dyDescent="0.2">
      <c r="G862" t="str">
        <f t="shared" si="13"/>
        <v/>
      </c>
    </row>
    <row r="863" spans="7:7" x14ac:dyDescent="0.2">
      <c r="G863" t="str">
        <f t="shared" si="13"/>
        <v/>
      </c>
    </row>
    <row r="864" spans="7:7" x14ac:dyDescent="0.2">
      <c r="G864" t="str">
        <f t="shared" si="13"/>
        <v/>
      </c>
    </row>
    <row r="865" spans="7:7" x14ac:dyDescent="0.2">
      <c r="G865" t="str">
        <f t="shared" si="13"/>
        <v/>
      </c>
    </row>
    <row r="866" spans="7:7" x14ac:dyDescent="0.2">
      <c r="G866" t="str">
        <f t="shared" si="13"/>
        <v/>
      </c>
    </row>
    <row r="867" spans="7:7" x14ac:dyDescent="0.2">
      <c r="G867" t="str">
        <f t="shared" si="13"/>
        <v/>
      </c>
    </row>
    <row r="868" spans="7:7" x14ac:dyDescent="0.2">
      <c r="G868" t="str">
        <f t="shared" si="13"/>
        <v/>
      </c>
    </row>
    <row r="869" spans="7:7" x14ac:dyDescent="0.2">
      <c r="G869" t="str">
        <f t="shared" si="13"/>
        <v/>
      </c>
    </row>
    <row r="870" spans="7:7" x14ac:dyDescent="0.2">
      <c r="G870" t="str">
        <f t="shared" si="13"/>
        <v/>
      </c>
    </row>
    <row r="871" spans="7:7" x14ac:dyDescent="0.2">
      <c r="G871" t="str">
        <f t="shared" si="13"/>
        <v/>
      </c>
    </row>
    <row r="872" spans="7:7" x14ac:dyDescent="0.2">
      <c r="G872" t="str">
        <f t="shared" si="13"/>
        <v/>
      </c>
    </row>
    <row r="873" spans="7:7" x14ac:dyDescent="0.2">
      <c r="G873" t="str">
        <f t="shared" si="13"/>
        <v/>
      </c>
    </row>
    <row r="874" spans="7:7" x14ac:dyDescent="0.2">
      <c r="G874" t="str">
        <f t="shared" si="13"/>
        <v/>
      </c>
    </row>
    <row r="875" spans="7:7" x14ac:dyDescent="0.2">
      <c r="G875" t="str">
        <f t="shared" si="13"/>
        <v/>
      </c>
    </row>
    <row r="876" spans="7:7" x14ac:dyDescent="0.2">
      <c r="G876" t="str">
        <f t="shared" si="13"/>
        <v/>
      </c>
    </row>
    <row r="877" spans="7:7" x14ac:dyDescent="0.2">
      <c r="G877" t="str">
        <f t="shared" si="13"/>
        <v/>
      </c>
    </row>
    <row r="878" spans="7:7" x14ac:dyDescent="0.2">
      <c r="G878" t="str">
        <f t="shared" si="13"/>
        <v/>
      </c>
    </row>
    <row r="879" spans="7:7" x14ac:dyDescent="0.2">
      <c r="G879" t="str">
        <f t="shared" si="13"/>
        <v/>
      </c>
    </row>
    <row r="880" spans="7:7" x14ac:dyDescent="0.2">
      <c r="G880" t="str">
        <f t="shared" si="13"/>
        <v/>
      </c>
    </row>
    <row r="881" spans="7:7" x14ac:dyDescent="0.2">
      <c r="G881" t="str">
        <f t="shared" si="13"/>
        <v/>
      </c>
    </row>
    <row r="882" spans="7:7" x14ac:dyDescent="0.2">
      <c r="G882" t="str">
        <f t="shared" si="13"/>
        <v/>
      </c>
    </row>
    <row r="883" spans="7:7" x14ac:dyDescent="0.2">
      <c r="G883" t="str">
        <f t="shared" si="13"/>
        <v/>
      </c>
    </row>
    <row r="884" spans="7:7" x14ac:dyDescent="0.2">
      <c r="G884" t="str">
        <f t="shared" si="13"/>
        <v/>
      </c>
    </row>
    <row r="885" spans="7:7" x14ac:dyDescent="0.2">
      <c r="G885" t="str">
        <f t="shared" si="13"/>
        <v/>
      </c>
    </row>
    <row r="886" spans="7:7" x14ac:dyDescent="0.2">
      <c r="G886" t="str">
        <f t="shared" si="13"/>
        <v/>
      </c>
    </row>
    <row r="887" spans="7:7" x14ac:dyDescent="0.2">
      <c r="G887" t="str">
        <f t="shared" si="13"/>
        <v/>
      </c>
    </row>
    <row r="888" spans="7:7" x14ac:dyDescent="0.2">
      <c r="G888" t="str">
        <f t="shared" si="13"/>
        <v/>
      </c>
    </row>
    <row r="889" spans="7:7" x14ac:dyDescent="0.2">
      <c r="G889" t="str">
        <f t="shared" si="13"/>
        <v/>
      </c>
    </row>
    <row r="890" spans="7:7" x14ac:dyDescent="0.2">
      <c r="G890" t="str">
        <f t="shared" si="13"/>
        <v/>
      </c>
    </row>
    <row r="891" spans="7:7" x14ac:dyDescent="0.2">
      <c r="G891" t="str">
        <f t="shared" si="13"/>
        <v/>
      </c>
    </row>
    <row r="892" spans="7:7" x14ac:dyDescent="0.2">
      <c r="G892" t="str">
        <f t="shared" si="13"/>
        <v/>
      </c>
    </row>
    <row r="893" spans="7:7" x14ac:dyDescent="0.2">
      <c r="G893" t="str">
        <f t="shared" si="13"/>
        <v/>
      </c>
    </row>
    <row r="894" spans="7:7" x14ac:dyDescent="0.2">
      <c r="G894" t="str">
        <f t="shared" si="13"/>
        <v/>
      </c>
    </row>
    <row r="895" spans="7:7" x14ac:dyDescent="0.2">
      <c r="G895" t="str">
        <f t="shared" si="13"/>
        <v/>
      </c>
    </row>
    <row r="896" spans="7:7" x14ac:dyDescent="0.2">
      <c r="G896" t="str">
        <f t="shared" si="13"/>
        <v/>
      </c>
    </row>
    <row r="897" spans="7:7" x14ac:dyDescent="0.2">
      <c r="G897" t="str">
        <f t="shared" si="13"/>
        <v/>
      </c>
    </row>
    <row r="898" spans="7:7" x14ac:dyDescent="0.2">
      <c r="G898" t="str">
        <f t="shared" ref="G898:G961" si="14">IF(E898="","",E898*F898)</f>
        <v/>
      </c>
    </row>
    <row r="899" spans="7:7" x14ac:dyDescent="0.2">
      <c r="G899" t="str">
        <f t="shared" si="14"/>
        <v/>
      </c>
    </row>
    <row r="900" spans="7:7" x14ac:dyDescent="0.2">
      <c r="G900" t="str">
        <f t="shared" si="14"/>
        <v/>
      </c>
    </row>
    <row r="901" spans="7:7" x14ac:dyDescent="0.2">
      <c r="G901" t="str">
        <f t="shared" si="14"/>
        <v/>
      </c>
    </row>
    <row r="902" spans="7:7" x14ac:dyDescent="0.2">
      <c r="G902" t="str">
        <f t="shared" si="14"/>
        <v/>
      </c>
    </row>
    <row r="903" spans="7:7" x14ac:dyDescent="0.2">
      <c r="G903" t="str">
        <f t="shared" si="14"/>
        <v/>
      </c>
    </row>
    <row r="904" spans="7:7" x14ac:dyDescent="0.2">
      <c r="G904" t="str">
        <f t="shared" si="14"/>
        <v/>
      </c>
    </row>
    <row r="905" spans="7:7" x14ac:dyDescent="0.2">
      <c r="G905" t="str">
        <f t="shared" si="14"/>
        <v/>
      </c>
    </row>
    <row r="906" spans="7:7" x14ac:dyDescent="0.2">
      <c r="G906" t="str">
        <f t="shared" si="14"/>
        <v/>
      </c>
    </row>
    <row r="907" spans="7:7" x14ac:dyDescent="0.2">
      <c r="G907" t="str">
        <f t="shared" si="14"/>
        <v/>
      </c>
    </row>
    <row r="908" spans="7:7" x14ac:dyDescent="0.2">
      <c r="G908" t="str">
        <f t="shared" si="14"/>
        <v/>
      </c>
    </row>
    <row r="909" spans="7:7" x14ac:dyDescent="0.2">
      <c r="G909" t="str">
        <f t="shared" si="14"/>
        <v/>
      </c>
    </row>
    <row r="910" spans="7:7" x14ac:dyDescent="0.2">
      <c r="G910" t="str">
        <f t="shared" si="14"/>
        <v/>
      </c>
    </row>
    <row r="911" spans="7:7" x14ac:dyDescent="0.2">
      <c r="G911" t="str">
        <f t="shared" si="14"/>
        <v/>
      </c>
    </row>
    <row r="912" spans="7:7" x14ac:dyDescent="0.2">
      <c r="G912" t="str">
        <f t="shared" si="14"/>
        <v/>
      </c>
    </row>
    <row r="913" spans="7:7" x14ac:dyDescent="0.2">
      <c r="G913" t="str">
        <f t="shared" si="14"/>
        <v/>
      </c>
    </row>
    <row r="914" spans="7:7" x14ac:dyDescent="0.2">
      <c r="G914" t="str">
        <f t="shared" si="14"/>
        <v/>
      </c>
    </row>
    <row r="915" spans="7:7" x14ac:dyDescent="0.2">
      <c r="G915" t="str">
        <f t="shared" si="14"/>
        <v/>
      </c>
    </row>
    <row r="916" spans="7:7" x14ac:dyDescent="0.2">
      <c r="G916" t="str">
        <f t="shared" si="14"/>
        <v/>
      </c>
    </row>
    <row r="917" spans="7:7" x14ac:dyDescent="0.2">
      <c r="G917" t="str">
        <f t="shared" si="14"/>
        <v/>
      </c>
    </row>
    <row r="918" spans="7:7" x14ac:dyDescent="0.2">
      <c r="G918" t="str">
        <f t="shared" si="14"/>
        <v/>
      </c>
    </row>
    <row r="919" spans="7:7" x14ac:dyDescent="0.2">
      <c r="G919" t="str">
        <f t="shared" si="14"/>
        <v/>
      </c>
    </row>
    <row r="920" spans="7:7" x14ac:dyDescent="0.2">
      <c r="G920" t="str">
        <f t="shared" si="14"/>
        <v/>
      </c>
    </row>
    <row r="921" spans="7:7" x14ac:dyDescent="0.2">
      <c r="G921" t="str">
        <f t="shared" si="14"/>
        <v/>
      </c>
    </row>
    <row r="922" spans="7:7" x14ac:dyDescent="0.2">
      <c r="G922" t="str">
        <f t="shared" si="14"/>
        <v/>
      </c>
    </row>
    <row r="923" spans="7:7" x14ac:dyDescent="0.2">
      <c r="G923" t="str">
        <f t="shared" si="14"/>
        <v/>
      </c>
    </row>
    <row r="924" spans="7:7" x14ac:dyDescent="0.2">
      <c r="G924" t="str">
        <f t="shared" si="14"/>
        <v/>
      </c>
    </row>
    <row r="925" spans="7:7" x14ac:dyDescent="0.2">
      <c r="G925" t="str">
        <f t="shared" si="14"/>
        <v/>
      </c>
    </row>
    <row r="926" spans="7:7" x14ac:dyDescent="0.2">
      <c r="G926" t="str">
        <f t="shared" si="14"/>
        <v/>
      </c>
    </row>
    <row r="927" spans="7:7" x14ac:dyDescent="0.2">
      <c r="G927" t="str">
        <f t="shared" si="14"/>
        <v/>
      </c>
    </row>
    <row r="928" spans="7:7" x14ac:dyDescent="0.2">
      <c r="G928" t="str">
        <f t="shared" si="14"/>
        <v/>
      </c>
    </row>
    <row r="929" spans="7:7" x14ac:dyDescent="0.2">
      <c r="G929" t="str">
        <f t="shared" si="14"/>
        <v/>
      </c>
    </row>
    <row r="930" spans="7:7" x14ac:dyDescent="0.2">
      <c r="G930" t="str">
        <f t="shared" si="14"/>
        <v/>
      </c>
    </row>
    <row r="931" spans="7:7" x14ac:dyDescent="0.2">
      <c r="G931" t="str">
        <f t="shared" si="14"/>
        <v/>
      </c>
    </row>
    <row r="932" spans="7:7" x14ac:dyDescent="0.2">
      <c r="G932" t="str">
        <f t="shared" si="14"/>
        <v/>
      </c>
    </row>
    <row r="933" spans="7:7" x14ac:dyDescent="0.2">
      <c r="G933" t="str">
        <f t="shared" si="14"/>
        <v/>
      </c>
    </row>
    <row r="934" spans="7:7" x14ac:dyDescent="0.2">
      <c r="G934" t="str">
        <f t="shared" si="14"/>
        <v/>
      </c>
    </row>
    <row r="935" spans="7:7" x14ac:dyDescent="0.2">
      <c r="G935" t="str">
        <f t="shared" si="14"/>
        <v/>
      </c>
    </row>
    <row r="936" spans="7:7" x14ac:dyDescent="0.2">
      <c r="G936" t="str">
        <f t="shared" si="14"/>
        <v/>
      </c>
    </row>
    <row r="937" spans="7:7" x14ac:dyDescent="0.2">
      <c r="G937" t="str">
        <f t="shared" si="14"/>
        <v/>
      </c>
    </row>
    <row r="938" spans="7:7" x14ac:dyDescent="0.2">
      <c r="G938" t="str">
        <f t="shared" si="14"/>
        <v/>
      </c>
    </row>
    <row r="939" spans="7:7" x14ac:dyDescent="0.2">
      <c r="G939" t="str">
        <f t="shared" si="14"/>
        <v/>
      </c>
    </row>
    <row r="940" spans="7:7" x14ac:dyDescent="0.2">
      <c r="G940" t="str">
        <f t="shared" si="14"/>
        <v/>
      </c>
    </row>
    <row r="941" spans="7:7" x14ac:dyDescent="0.2">
      <c r="G941" t="str">
        <f t="shared" si="14"/>
        <v/>
      </c>
    </row>
    <row r="942" spans="7:7" x14ac:dyDescent="0.2">
      <c r="G942" t="str">
        <f t="shared" si="14"/>
        <v/>
      </c>
    </row>
    <row r="943" spans="7:7" x14ac:dyDescent="0.2">
      <c r="G943" t="str">
        <f t="shared" si="14"/>
        <v/>
      </c>
    </row>
    <row r="944" spans="7:7" x14ac:dyDescent="0.2">
      <c r="G944" t="str">
        <f t="shared" si="14"/>
        <v/>
      </c>
    </row>
    <row r="945" spans="7:7" x14ac:dyDescent="0.2">
      <c r="G945" t="str">
        <f t="shared" si="14"/>
        <v/>
      </c>
    </row>
    <row r="946" spans="7:7" x14ac:dyDescent="0.2">
      <c r="G946" t="str">
        <f t="shared" si="14"/>
        <v/>
      </c>
    </row>
    <row r="947" spans="7:7" x14ac:dyDescent="0.2">
      <c r="G947" t="str">
        <f t="shared" si="14"/>
        <v/>
      </c>
    </row>
    <row r="948" spans="7:7" x14ac:dyDescent="0.2">
      <c r="G948" t="str">
        <f t="shared" si="14"/>
        <v/>
      </c>
    </row>
    <row r="949" spans="7:7" x14ac:dyDescent="0.2">
      <c r="G949" t="str">
        <f t="shared" si="14"/>
        <v/>
      </c>
    </row>
    <row r="950" spans="7:7" x14ac:dyDescent="0.2">
      <c r="G950" t="str">
        <f t="shared" si="14"/>
        <v/>
      </c>
    </row>
    <row r="951" spans="7:7" x14ac:dyDescent="0.2">
      <c r="G951" t="str">
        <f t="shared" si="14"/>
        <v/>
      </c>
    </row>
    <row r="952" spans="7:7" x14ac:dyDescent="0.2">
      <c r="G952" t="str">
        <f t="shared" si="14"/>
        <v/>
      </c>
    </row>
    <row r="953" spans="7:7" x14ac:dyDescent="0.2">
      <c r="G953" t="str">
        <f t="shared" si="14"/>
        <v/>
      </c>
    </row>
    <row r="954" spans="7:7" x14ac:dyDescent="0.2">
      <c r="G954" t="str">
        <f t="shared" si="14"/>
        <v/>
      </c>
    </row>
    <row r="955" spans="7:7" x14ac:dyDescent="0.2">
      <c r="G955" t="str">
        <f t="shared" si="14"/>
        <v/>
      </c>
    </row>
    <row r="956" spans="7:7" x14ac:dyDescent="0.2">
      <c r="G956" t="str">
        <f t="shared" si="14"/>
        <v/>
      </c>
    </row>
    <row r="957" spans="7:7" x14ac:dyDescent="0.2">
      <c r="G957" t="str">
        <f t="shared" si="14"/>
        <v/>
      </c>
    </row>
    <row r="958" spans="7:7" x14ac:dyDescent="0.2">
      <c r="G958" t="str">
        <f t="shared" si="14"/>
        <v/>
      </c>
    </row>
    <row r="959" spans="7:7" x14ac:dyDescent="0.2">
      <c r="G959" t="str">
        <f t="shared" si="14"/>
        <v/>
      </c>
    </row>
    <row r="960" spans="7:7" x14ac:dyDescent="0.2">
      <c r="G960" t="str">
        <f t="shared" si="14"/>
        <v/>
      </c>
    </row>
    <row r="961" spans="7:7" x14ac:dyDescent="0.2">
      <c r="G961" t="str">
        <f t="shared" si="14"/>
        <v/>
      </c>
    </row>
    <row r="962" spans="7:7" x14ac:dyDescent="0.2">
      <c r="G962" t="str">
        <f t="shared" ref="G962:G999" si="15">IF(E962="","",E962*F962)</f>
        <v/>
      </c>
    </row>
    <row r="963" spans="7:7" x14ac:dyDescent="0.2">
      <c r="G963" t="str">
        <f t="shared" si="15"/>
        <v/>
      </c>
    </row>
    <row r="964" spans="7:7" x14ac:dyDescent="0.2">
      <c r="G964" t="str">
        <f t="shared" si="15"/>
        <v/>
      </c>
    </row>
    <row r="965" spans="7:7" x14ac:dyDescent="0.2">
      <c r="G965" t="str">
        <f t="shared" si="15"/>
        <v/>
      </c>
    </row>
    <row r="966" spans="7:7" x14ac:dyDescent="0.2">
      <c r="G966" t="str">
        <f t="shared" si="15"/>
        <v/>
      </c>
    </row>
    <row r="967" spans="7:7" x14ac:dyDescent="0.2">
      <c r="G967" t="str">
        <f t="shared" si="15"/>
        <v/>
      </c>
    </row>
    <row r="968" spans="7:7" x14ac:dyDescent="0.2">
      <c r="G968" t="str">
        <f t="shared" si="15"/>
        <v/>
      </c>
    </row>
    <row r="969" spans="7:7" x14ac:dyDescent="0.2">
      <c r="G969" t="str">
        <f t="shared" si="15"/>
        <v/>
      </c>
    </row>
    <row r="970" spans="7:7" x14ac:dyDescent="0.2">
      <c r="G970" t="str">
        <f t="shared" si="15"/>
        <v/>
      </c>
    </row>
    <row r="971" spans="7:7" x14ac:dyDescent="0.2">
      <c r="G971" t="str">
        <f t="shared" si="15"/>
        <v/>
      </c>
    </row>
    <row r="972" spans="7:7" x14ac:dyDescent="0.2">
      <c r="G972" t="str">
        <f t="shared" si="15"/>
        <v/>
      </c>
    </row>
    <row r="973" spans="7:7" x14ac:dyDescent="0.2">
      <c r="G973" t="str">
        <f t="shared" si="15"/>
        <v/>
      </c>
    </row>
    <row r="974" spans="7:7" x14ac:dyDescent="0.2">
      <c r="G974" t="str">
        <f t="shared" si="15"/>
        <v/>
      </c>
    </row>
    <row r="975" spans="7:7" x14ac:dyDescent="0.2">
      <c r="G975" t="str">
        <f t="shared" si="15"/>
        <v/>
      </c>
    </row>
    <row r="976" spans="7:7" x14ac:dyDescent="0.2">
      <c r="G976" t="str">
        <f t="shared" si="15"/>
        <v/>
      </c>
    </row>
    <row r="977" spans="7:7" x14ac:dyDescent="0.2">
      <c r="G977" t="str">
        <f t="shared" si="15"/>
        <v/>
      </c>
    </row>
    <row r="978" spans="7:7" x14ac:dyDescent="0.2">
      <c r="G978" t="str">
        <f t="shared" si="15"/>
        <v/>
      </c>
    </row>
    <row r="979" spans="7:7" x14ac:dyDescent="0.2">
      <c r="G979" t="str">
        <f t="shared" si="15"/>
        <v/>
      </c>
    </row>
    <row r="980" spans="7:7" x14ac:dyDescent="0.2">
      <c r="G980" t="str">
        <f t="shared" si="15"/>
        <v/>
      </c>
    </row>
    <row r="981" spans="7:7" x14ac:dyDescent="0.2">
      <c r="G981" t="str">
        <f t="shared" si="15"/>
        <v/>
      </c>
    </row>
    <row r="982" spans="7:7" x14ac:dyDescent="0.2">
      <c r="G982" t="str">
        <f t="shared" si="15"/>
        <v/>
      </c>
    </row>
    <row r="983" spans="7:7" x14ac:dyDescent="0.2">
      <c r="G983" t="str">
        <f t="shared" si="15"/>
        <v/>
      </c>
    </row>
    <row r="984" spans="7:7" x14ac:dyDescent="0.2">
      <c r="G984" t="str">
        <f t="shared" si="15"/>
        <v/>
      </c>
    </row>
    <row r="985" spans="7:7" x14ac:dyDescent="0.2">
      <c r="G985" t="str">
        <f t="shared" si="15"/>
        <v/>
      </c>
    </row>
    <row r="986" spans="7:7" x14ac:dyDescent="0.2">
      <c r="G986" t="str">
        <f t="shared" si="15"/>
        <v/>
      </c>
    </row>
    <row r="987" spans="7:7" x14ac:dyDescent="0.2">
      <c r="G987" t="str">
        <f t="shared" si="15"/>
        <v/>
      </c>
    </row>
    <row r="988" spans="7:7" x14ac:dyDescent="0.2">
      <c r="G988" t="str">
        <f t="shared" si="15"/>
        <v/>
      </c>
    </row>
    <row r="989" spans="7:7" x14ac:dyDescent="0.2">
      <c r="G989" t="str">
        <f t="shared" si="15"/>
        <v/>
      </c>
    </row>
    <row r="990" spans="7:7" x14ac:dyDescent="0.2">
      <c r="G990" t="str">
        <f t="shared" si="15"/>
        <v/>
      </c>
    </row>
    <row r="991" spans="7:7" x14ac:dyDescent="0.2">
      <c r="G991" t="str">
        <f t="shared" si="15"/>
        <v/>
      </c>
    </row>
    <row r="992" spans="7:7" x14ac:dyDescent="0.2">
      <c r="G992" t="str">
        <f t="shared" si="15"/>
        <v/>
      </c>
    </row>
    <row r="993" spans="7:7" x14ac:dyDescent="0.2">
      <c r="G993" t="str">
        <f t="shared" si="15"/>
        <v/>
      </c>
    </row>
    <row r="994" spans="7:7" x14ac:dyDescent="0.2">
      <c r="G994" t="str">
        <f t="shared" si="15"/>
        <v/>
      </c>
    </row>
    <row r="995" spans="7:7" x14ac:dyDescent="0.2">
      <c r="G995" t="str">
        <f t="shared" si="15"/>
        <v/>
      </c>
    </row>
    <row r="996" spans="7:7" x14ac:dyDescent="0.2">
      <c r="G996" t="str">
        <f t="shared" si="15"/>
        <v/>
      </c>
    </row>
    <row r="997" spans="7:7" x14ac:dyDescent="0.2">
      <c r="G997" t="str">
        <f t="shared" si="15"/>
        <v/>
      </c>
    </row>
    <row r="998" spans="7:7" x14ac:dyDescent="0.2">
      <c r="G998" t="str">
        <f t="shared" si="15"/>
        <v/>
      </c>
    </row>
    <row r="999" spans="7:7" x14ac:dyDescent="0.2">
      <c r="G999" t="str">
        <f t="shared" si="15"/>
        <v/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MASTER_PRODUCTS!$B$2:$B$500</xm:f>
          </x14:formula1>
          <xm:sqref>D2:D1000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99"/>
  <sheetViews>
    <sheetView tabSelected="1" topLeftCell="A19" workbookViewId="0">
      <selection activeCell="F53" sqref="F53"/>
    </sheetView>
  </sheetViews>
  <sheetFormatPr baseColWidth="10" defaultColWidth="8.83203125" defaultRowHeight="15" x14ac:dyDescent="0.2"/>
  <cols>
    <col min="1" max="7" width="24" customWidth="1"/>
  </cols>
  <sheetData>
    <row r="1" spans="1:8" x14ac:dyDescent="0.2">
      <c r="A1" s="1" t="s">
        <v>8</v>
      </c>
      <c r="B1" s="1" t="s">
        <v>9</v>
      </c>
      <c r="C1" s="1" t="s">
        <v>45</v>
      </c>
      <c r="D1" s="1" t="s">
        <v>46</v>
      </c>
      <c r="E1" s="1" t="s">
        <v>47</v>
      </c>
      <c r="F1" s="1" t="s">
        <v>10</v>
      </c>
      <c r="G1" s="1" t="s">
        <v>48</v>
      </c>
    </row>
    <row r="2" spans="1:8" x14ac:dyDescent="0.2">
      <c r="A2" t="str">
        <f>IF(MASTER_RAW_MATERIALS!B2="","",MASTER_RAW_MATERIALS!B2)</f>
        <v>MASTER BATCH PINK</v>
      </c>
      <c r="B2">
        <f>IF(A2="","",MASTER_RAW_MATERIALS!D2)</f>
        <v>1500</v>
      </c>
      <c r="C2">
        <f>IF(A2="","",SUMIFS(PURCHASES!E:E,PURCHASES!D:D,A2))</f>
        <v>0</v>
      </c>
      <c r="D2">
        <f>IF(A2="","",SUMIFS(PRODUCTION_REPORT!E:E,PRODUCTION_REPORT!D:D,A2)+SUMIFS(PRODUCTION_REPORT!G:G,PRODUCTION_REPORT!F:F,A2)+SUMIFS(PRODUCTION_REPORT!I:I,PRODUCTION_REPORT!H:H,A2)+SUMIFS(PRODUCTION_REPORT!K:K,PRODUCTION_REPORT!J:J,A2)+SUMIFS(PRODUCTION_REPORT!M:M,PRODUCTION_REPORT!L:L,A2)+SUMIFS(PRODUCTION_REPORT!O:O,PRODUCTION_REPORT!N:N,A2))</f>
        <v>0</v>
      </c>
      <c r="E2">
        <f t="shared" ref="E2:E65" si="0">IF(A2="","",B2+C2-D2)</f>
        <v>1500</v>
      </c>
      <c r="F2">
        <f>IF(A3="","",_xlfn.XLOOKUP(A2,MASTER_RAW_MATERIALS!B:B,MASTER_RAW_MATERIALS!E:E,0))</f>
        <v>1000</v>
      </c>
      <c r="G2">
        <f t="shared" ref="G2:G65" si="1">IF(A2="","",E2*F2)</f>
        <v>1500000</v>
      </c>
    </row>
    <row r="3" spans="1:8" x14ac:dyDescent="0.2">
      <c r="A3" t="str">
        <f>IF(MASTER_RAW_MATERIALS!B3="","",MASTER_RAW_MATERIALS!B3)</f>
        <v>MASTER BATCH WHITE</v>
      </c>
      <c r="B3">
        <f>IF(A3="","",MASTER_RAW_MATERIALS!D3)</f>
        <v>1500</v>
      </c>
      <c r="C3">
        <f>IF(A3="","",SUMIFS(PURCHASES!E:E,PURCHASES!D:D,A3))</f>
        <v>0</v>
      </c>
      <c r="D3">
        <f>IF(A3="","",SUMIFS(PRODUCTION_REPORT!E:E,PRODUCTION_REPORT!D:D,A3)+SUMIFS(PRODUCTION_REPORT!G:G,PRODUCTION_REPORT!F:F,A3)+SUMIFS(PRODUCTION_REPORT!I:I,PRODUCTION_REPORT!H:H,A3)+SUMIFS(PRODUCTION_REPORT!K:K,PRODUCTION_REPORT!J:J,A3)+SUMIFS(PRODUCTION_REPORT!M:M,PRODUCTION_REPORT!L:L,A3)+SUMIFS(PRODUCTION_REPORT!O:O,PRODUCTION_REPORT!N:N,A3))</f>
        <v>0</v>
      </c>
      <c r="E3">
        <f t="shared" si="0"/>
        <v>1500</v>
      </c>
      <c r="F3">
        <f>IF(A3="","",_xlfn.XLOOKUP(A3,MASTER_RAW_MATERIALS!B:B,MASTER_RAW_MATERIALS!E:E,0))</f>
        <v>200</v>
      </c>
      <c r="G3">
        <f t="shared" si="1"/>
        <v>300000</v>
      </c>
      <c r="H3">
        <f>MASTER_RAW_MATERIALS!E2</f>
        <v>1000</v>
      </c>
    </row>
    <row r="4" spans="1:8" x14ac:dyDescent="0.2">
      <c r="A4" t="str">
        <f>IF(MASTER_RAW_MATERIALS!B4="","",MASTER_RAW_MATERIALS!B4)</f>
        <v>AVION INNER KAVERA</v>
      </c>
      <c r="B4">
        <f>IF(A4="","",MASTER_RAW_MATERIALS!D4)</f>
        <v>1500</v>
      </c>
      <c r="C4">
        <f>IF(A4="","",SUMIFS(PURCHASES!E:E,PURCHASES!D:D,A4))</f>
        <v>0</v>
      </c>
      <c r="D4">
        <f>IF(A4="","",SUMIFS(PRODUCTION_REPORT!E:E,PRODUCTION_REPORT!D:D,A4)+SUMIFS(PRODUCTION_REPORT!G:G,PRODUCTION_REPORT!F:F,A4)+SUMIFS(PRODUCTION_REPORT!I:I,PRODUCTION_REPORT!H:H,A4)+SUMIFS(PRODUCTION_REPORT!K:K,PRODUCTION_REPORT!J:J,A4)+SUMIFS(PRODUCTION_REPORT!M:M,PRODUCTION_REPORT!L:L,A4)+SUMIFS(PRODUCTION_REPORT!O:O,PRODUCTION_REPORT!N:N,A4))</f>
        <v>0</v>
      </c>
      <c r="E4">
        <f t="shared" si="0"/>
        <v>1500</v>
      </c>
      <c r="F4">
        <f>IF(A4="","",_xlfn.XLOOKUP(A4,MASTER_RAW_MATERIALS!B:B,MASTER_RAW_MATERIALS!E:E,0))</f>
        <v>200</v>
      </c>
      <c r="G4">
        <f t="shared" si="1"/>
        <v>300000</v>
      </c>
      <c r="H4" t="b">
        <f>ISTEXT(B2)</f>
        <v>0</v>
      </c>
    </row>
    <row r="5" spans="1:8" x14ac:dyDescent="0.2">
      <c r="A5" t="str">
        <f>IF(MASTER_RAW_MATERIALS!B5="","",MASTER_RAW_MATERIALS!B5)</f>
        <v>WAVEX INNER KAVERA</v>
      </c>
      <c r="B5">
        <f>IF(A5="","",MASTER_RAW_MATERIALS!D5)</f>
        <v>1500</v>
      </c>
      <c r="C5">
        <f>IF(A5="","",SUMIFS(PURCHASES!E:E,PURCHASES!D:D,A5))</f>
        <v>0</v>
      </c>
      <c r="D5">
        <f>IF(A5="","",SUMIFS(PRODUCTION_REPORT!E:E,PRODUCTION_REPORT!D:D,A5)+SUMIFS(PRODUCTION_REPORT!G:G,PRODUCTION_REPORT!F:F,A5)+SUMIFS(PRODUCTION_REPORT!I:I,PRODUCTION_REPORT!H:H,A5)+SUMIFS(PRODUCTION_REPORT!K:K,PRODUCTION_REPORT!J:J,A5)+SUMIFS(PRODUCTION_REPORT!M:M,PRODUCTION_REPORT!L:L,A5)+SUMIFS(PRODUCTION_REPORT!O:O,PRODUCTION_REPORT!N:N,A5))</f>
        <v>0</v>
      </c>
      <c r="E5">
        <f t="shared" si="0"/>
        <v>1500</v>
      </c>
      <c r="F5">
        <f>IF(A5="","",_xlfn.XLOOKUP(A5,MASTER_RAW_MATERIALS!B:B,MASTER_RAW_MATERIALS!E:E,0))</f>
        <v>200</v>
      </c>
      <c r="G5">
        <f t="shared" si="1"/>
        <v>300000</v>
      </c>
    </row>
    <row r="6" spans="1:8" x14ac:dyDescent="0.2">
      <c r="A6" t="str">
        <f>IF(MASTER_RAW_MATERIALS!B6="","",MASTER_RAW_MATERIALS!B6)</f>
        <v>AVION OUTER KAVERA</v>
      </c>
      <c r="B6">
        <f>IF(A6="","",MASTER_RAW_MATERIALS!D6)</f>
        <v>1500</v>
      </c>
      <c r="C6">
        <f>IF(A6="","",SUMIFS(PURCHASES!E:E,PURCHASES!D:D,A6))</f>
        <v>0</v>
      </c>
      <c r="D6">
        <f>IF(A6="","",SUMIFS(PRODUCTION_REPORT!E:E,PRODUCTION_REPORT!D:D,A6)+SUMIFS(PRODUCTION_REPORT!G:G,PRODUCTION_REPORT!F:F,A6)+SUMIFS(PRODUCTION_REPORT!I:I,PRODUCTION_REPORT!H:H,A6)+SUMIFS(PRODUCTION_REPORT!K:K,PRODUCTION_REPORT!J:J,A6)+SUMIFS(PRODUCTION_REPORT!M:M,PRODUCTION_REPORT!L:L,A6)+SUMIFS(PRODUCTION_REPORT!O:O,PRODUCTION_REPORT!N:N,A6))</f>
        <v>0</v>
      </c>
      <c r="E6">
        <f t="shared" si="0"/>
        <v>1500</v>
      </c>
      <c r="F6">
        <f>IF(A6="","",_xlfn.XLOOKUP(A6,MASTER_RAW_MATERIALS!B:B,MASTER_RAW_MATERIALS!E:E,0))</f>
        <v>200</v>
      </c>
      <c r="G6">
        <f t="shared" si="1"/>
        <v>300000</v>
      </c>
    </row>
    <row r="7" spans="1:8" x14ac:dyDescent="0.2">
      <c r="A7" t="str">
        <f>IF(MASTER_RAW_MATERIALS!B7="","",MASTER_RAW_MATERIALS!B7)</f>
        <v>WAVEX OUTER KAVERA</v>
      </c>
      <c r="B7">
        <f>IF(A7="","",MASTER_RAW_MATERIALS!D7)</f>
        <v>1500</v>
      </c>
      <c r="C7">
        <f>IF(A7="","",SUMIFS(PURCHASES!E:E,PURCHASES!D:D,A7))</f>
        <v>0</v>
      </c>
      <c r="D7">
        <f>IF(A7="","",SUMIFS(PRODUCTION_REPORT!E:E,PRODUCTION_REPORT!D:D,A7)+SUMIFS(PRODUCTION_REPORT!G:G,PRODUCTION_REPORT!F:F,A7)+SUMIFS(PRODUCTION_REPORT!I:I,PRODUCTION_REPORT!H:H,A7)+SUMIFS(PRODUCTION_REPORT!K:K,PRODUCTION_REPORT!J:J,A7)+SUMIFS(PRODUCTION_REPORT!M:M,PRODUCTION_REPORT!L:L,A7)+SUMIFS(PRODUCTION_REPORT!O:O,PRODUCTION_REPORT!N:N,A7))</f>
        <v>0</v>
      </c>
      <c r="E7">
        <f t="shared" si="0"/>
        <v>1500</v>
      </c>
      <c r="F7">
        <f>IF(A7="","",_xlfn.XLOOKUP(A7,MASTER_RAW_MATERIALS!B:B,MASTER_RAW_MATERIALS!E:E,0))</f>
        <v>200</v>
      </c>
      <c r="G7">
        <f t="shared" si="1"/>
        <v>300000</v>
      </c>
    </row>
    <row r="8" spans="1:8" x14ac:dyDescent="0.2">
      <c r="A8" t="str">
        <f>IF(MASTER_RAW_MATERIALS!B8="","",MASTER_RAW_MATERIALS!B8)</f>
        <v>WRAPPING PAPPER</v>
      </c>
      <c r="B8">
        <f>IF(A8="","",MASTER_RAW_MATERIALS!D8)</f>
        <v>1500</v>
      </c>
      <c r="C8">
        <f>IF(A8="","",SUMIFS(PURCHASES!E:E,PURCHASES!D:D,A8))</f>
        <v>0</v>
      </c>
      <c r="D8">
        <f>IF(A8="","",SUMIFS(PRODUCTION_REPORT!E:E,PRODUCTION_REPORT!D:D,A8)+SUMIFS(PRODUCTION_REPORT!G:G,PRODUCTION_REPORT!F:F,A8)+SUMIFS(PRODUCTION_REPORT!I:I,PRODUCTION_REPORT!H:H,A8)+SUMIFS(PRODUCTION_REPORT!K:K,PRODUCTION_REPORT!J:J,A8)+SUMIFS(PRODUCTION_REPORT!M:M,PRODUCTION_REPORT!L:L,A8)+SUMIFS(PRODUCTION_REPORT!O:O,PRODUCTION_REPORT!N:N,A8))</f>
        <v>0</v>
      </c>
      <c r="E8">
        <f t="shared" si="0"/>
        <v>1500</v>
      </c>
      <c r="F8">
        <f>IF(A8="","",_xlfn.XLOOKUP(A8,MASTER_RAW_MATERIALS!B:B,MASTER_RAW_MATERIALS!E:E,0))</f>
        <v>200</v>
      </c>
      <c r="G8">
        <f t="shared" si="1"/>
        <v>300000</v>
      </c>
    </row>
    <row r="9" spans="1:8" x14ac:dyDescent="0.2">
      <c r="A9" t="str">
        <f>IF(MASTER_RAW_MATERIALS!B9="","",MASTER_RAW_MATERIALS!B9)</f>
        <v>STICK KAVERA</v>
      </c>
      <c r="B9">
        <f>IF(A9="","",MASTER_RAW_MATERIALS!D9)</f>
        <v>1500</v>
      </c>
      <c r="C9">
        <f>IF(A9="","",SUMIFS(PURCHASES!E:E,PURCHASES!D:D,A9))</f>
        <v>0</v>
      </c>
      <c r="D9">
        <f>IF(A9="","",SUMIFS(PRODUCTION_REPORT!E:E,PRODUCTION_REPORT!D:D,A9)+SUMIFS(PRODUCTION_REPORT!G:G,PRODUCTION_REPORT!F:F,A9)+SUMIFS(PRODUCTION_REPORT!I:I,PRODUCTION_REPORT!H:H,A9)+SUMIFS(PRODUCTION_REPORT!K:K,PRODUCTION_REPORT!J:J,A9)+SUMIFS(PRODUCTION_REPORT!M:M,PRODUCTION_REPORT!L:L,A9)+SUMIFS(PRODUCTION_REPORT!O:O,PRODUCTION_REPORT!N:N,A9))</f>
        <v>0</v>
      </c>
      <c r="E9">
        <f t="shared" si="0"/>
        <v>1500</v>
      </c>
      <c r="F9">
        <f>IF(A9="","",_xlfn.XLOOKUP(A9,MASTER_RAW_MATERIALS!B:B,MASTER_RAW_MATERIALS!E:E,0))</f>
        <v>200</v>
      </c>
      <c r="G9">
        <f t="shared" si="1"/>
        <v>300000</v>
      </c>
    </row>
    <row r="10" spans="1:8" x14ac:dyDescent="0.2">
      <c r="A10" t="str">
        <f>IF(MASTER_RAW_MATERIALS!B10="","",MASTER_RAW_MATERIALS!B10)</f>
        <v>CHINESE KAVERA</v>
      </c>
      <c r="B10">
        <f>IF(A10="","",MASTER_RAW_MATERIALS!D10)</f>
        <v>1500</v>
      </c>
      <c r="C10">
        <f>IF(A10="","",SUMIFS(PURCHASES!E:E,PURCHASES!D:D,A10))</f>
        <v>0</v>
      </c>
      <c r="D10">
        <f>IF(A10="","",SUMIFS(PRODUCTION_REPORT!E:E,PRODUCTION_REPORT!D:D,A10)+SUMIFS(PRODUCTION_REPORT!G:G,PRODUCTION_REPORT!F:F,A10)+SUMIFS(PRODUCTION_REPORT!I:I,PRODUCTION_REPORT!H:H,A10)+SUMIFS(PRODUCTION_REPORT!K:K,PRODUCTION_REPORT!J:J,A10)+SUMIFS(PRODUCTION_REPORT!M:M,PRODUCTION_REPORT!L:L,A10)+SUMIFS(PRODUCTION_REPORT!O:O,PRODUCTION_REPORT!N:N,A10))</f>
        <v>0</v>
      </c>
      <c r="E10">
        <f t="shared" si="0"/>
        <v>1500</v>
      </c>
      <c r="F10">
        <f>IF(A10="","",_xlfn.XLOOKUP(A10,MASTER_RAW_MATERIALS!B:B,MASTER_RAW_MATERIALS!E:E,0))</f>
        <v>200</v>
      </c>
      <c r="G10">
        <f t="shared" si="1"/>
        <v>300000</v>
      </c>
    </row>
    <row r="11" spans="1:8" x14ac:dyDescent="0.2">
      <c r="A11" t="str">
        <f>IF(MASTER_RAW_MATERIALS!B11="","",MASTER_RAW_MATERIALS!B11)</f>
        <v>14 MICRON FOIL 45 CM</v>
      </c>
      <c r="B11">
        <f>IF(A11="","",MASTER_RAW_MATERIALS!D11)</f>
        <v>1500</v>
      </c>
      <c r="C11">
        <f>IF(A11="","",SUMIFS(PURCHASES!E:E,PURCHASES!D:D,A11))</f>
        <v>0</v>
      </c>
      <c r="D11">
        <f>IF(A11="","",SUMIFS(PRODUCTION_REPORT!E:E,PRODUCTION_REPORT!D:D,A11)+SUMIFS(PRODUCTION_REPORT!G:G,PRODUCTION_REPORT!F:F,A11)+SUMIFS(PRODUCTION_REPORT!I:I,PRODUCTION_REPORT!H:H,A11)+SUMIFS(PRODUCTION_REPORT!K:K,PRODUCTION_REPORT!J:J,A11)+SUMIFS(PRODUCTION_REPORT!M:M,PRODUCTION_REPORT!L:L,A11)+SUMIFS(PRODUCTION_REPORT!O:O,PRODUCTION_REPORT!N:N,A11))</f>
        <v>0</v>
      </c>
      <c r="E11">
        <f t="shared" si="0"/>
        <v>1500</v>
      </c>
      <c r="F11">
        <f>IF(A11="","",_xlfn.XLOOKUP(A11,MASTER_RAW_MATERIALS!B:B,MASTER_RAW_MATERIALS!E:E,0))</f>
        <v>200</v>
      </c>
      <c r="G11">
        <f t="shared" si="1"/>
        <v>300000</v>
      </c>
    </row>
    <row r="12" spans="1:8" x14ac:dyDescent="0.2">
      <c r="A12" t="str">
        <f>IF(MASTER_RAW_MATERIALS!B12="","",MASTER_RAW_MATERIALS!B12)</f>
        <v>YOLO INNER KAVERA</v>
      </c>
      <c r="B12">
        <f>IF(A12="","",MASTER_RAW_MATERIALS!D12)</f>
        <v>1500</v>
      </c>
      <c r="C12">
        <f>IF(A12="","",SUMIFS(PURCHASES!E:E,PURCHASES!D:D,A12))</f>
        <v>0</v>
      </c>
      <c r="D12">
        <f>IF(A12="","",SUMIFS(PRODUCTION_REPORT!E:E,PRODUCTION_REPORT!D:D,A12)+SUMIFS(PRODUCTION_REPORT!G:G,PRODUCTION_REPORT!F:F,A12)+SUMIFS(PRODUCTION_REPORT!I:I,PRODUCTION_REPORT!H:H,A12)+SUMIFS(PRODUCTION_REPORT!K:K,PRODUCTION_REPORT!J:J,A12)+SUMIFS(PRODUCTION_REPORT!M:M,PRODUCTION_REPORT!L:L,A12)+SUMIFS(PRODUCTION_REPORT!O:O,PRODUCTION_REPORT!N:N,A12))</f>
        <v>0</v>
      </c>
      <c r="E12">
        <f t="shared" si="0"/>
        <v>1500</v>
      </c>
      <c r="F12">
        <f>IF(A12="","",_xlfn.XLOOKUP(A12,MASTER_RAW_MATERIALS!B:B,MASTER_RAW_MATERIALS!E:E,0))</f>
        <v>200</v>
      </c>
      <c r="G12">
        <f t="shared" si="1"/>
        <v>300000</v>
      </c>
    </row>
    <row r="13" spans="1:8" x14ac:dyDescent="0.2">
      <c r="A13" t="str">
        <f>IF(MASTER_RAW_MATERIALS!B13="","",MASTER_RAW_MATERIALS!B13)</f>
        <v>GOLDEN PVC OUTER(1 X25)</v>
      </c>
      <c r="B13">
        <f>IF(A13="","",MASTER_RAW_MATERIALS!D13)</f>
        <v>1500</v>
      </c>
      <c r="C13">
        <f>IF(A13="","",SUMIFS(PURCHASES!E:E,PURCHASES!D:D,A13))</f>
        <v>0</v>
      </c>
      <c r="D13">
        <f>IF(A13="","",SUMIFS(PRODUCTION_REPORT!E:E,PRODUCTION_REPORT!D:D,A13)+SUMIFS(PRODUCTION_REPORT!G:G,PRODUCTION_REPORT!F:F,A13)+SUMIFS(PRODUCTION_REPORT!I:I,PRODUCTION_REPORT!H:H,A13)+SUMIFS(PRODUCTION_REPORT!K:K,PRODUCTION_REPORT!J:J,A13)+SUMIFS(PRODUCTION_REPORT!M:M,PRODUCTION_REPORT!L:L,A13)+SUMIFS(PRODUCTION_REPORT!O:O,PRODUCTION_REPORT!N:N,A13))</f>
        <v>0</v>
      </c>
      <c r="E13">
        <f t="shared" si="0"/>
        <v>1500</v>
      </c>
      <c r="F13">
        <f>IF(A13="","",_xlfn.XLOOKUP(A13,MASTER_RAW_MATERIALS!B:B,MASTER_RAW_MATERIALS!E:E,0))</f>
        <v>200</v>
      </c>
      <c r="G13">
        <f t="shared" si="1"/>
        <v>300000</v>
      </c>
    </row>
    <row r="14" spans="1:8" x14ac:dyDescent="0.2">
      <c r="A14" t="str">
        <f>IF(MASTER_RAW_MATERIALS!B14="","",MASTER_RAW_MATERIALS!B14)</f>
        <v>GOLDEN FOIL OUTER(1 X25)</v>
      </c>
      <c r="B14">
        <f>IF(A14="","",MASTER_RAW_MATERIALS!D14)</f>
        <v>1500</v>
      </c>
      <c r="C14">
        <f>IF(A14="","",SUMIFS(PURCHASES!E:E,PURCHASES!D:D,A14))</f>
        <v>0</v>
      </c>
      <c r="D14">
        <f>IF(A14="","",SUMIFS(PRODUCTION_REPORT!E:E,PRODUCTION_REPORT!D:D,A14)+SUMIFS(PRODUCTION_REPORT!G:G,PRODUCTION_REPORT!F:F,A14)+SUMIFS(PRODUCTION_REPORT!I:I,PRODUCTION_REPORT!H:H,A14)+SUMIFS(PRODUCTION_REPORT!K:K,PRODUCTION_REPORT!J:J,A14)+SUMIFS(PRODUCTION_REPORT!M:M,PRODUCTION_REPORT!L:L,A14)+SUMIFS(PRODUCTION_REPORT!O:O,PRODUCTION_REPORT!N:N,A14))</f>
        <v>0</v>
      </c>
      <c r="E14">
        <f t="shared" si="0"/>
        <v>1500</v>
      </c>
      <c r="F14">
        <f>IF(A14="","",_xlfn.XLOOKUP(A14,MASTER_RAW_MATERIALS!B:B,MASTER_RAW_MATERIALS!E:E,0))</f>
        <v>200</v>
      </c>
      <c r="G14">
        <f t="shared" si="1"/>
        <v>300000</v>
      </c>
    </row>
    <row r="15" spans="1:8" x14ac:dyDescent="0.2">
      <c r="A15" t="str">
        <f>IF(MASTER_RAW_MATERIALS!B15="","",MASTER_RAW_MATERIALS!B15)</f>
        <v>AVION FOIL OUTER (1 X25)</v>
      </c>
      <c r="B15">
        <f>IF(A15="","",MASTER_RAW_MATERIALS!D15)</f>
        <v>1500</v>
      </c>
      <c r="C15">
        <f>IF(A15="","",SUMIFS(PURCHASES!E:E,PURCHASES!D:D,A15))</f>
        <v>0</v>
      </c>
      <c r="D15">
        <f>IF(A15="","",SUMIFS(PRODUCTION_REPORT!E:E,PRODUCTION_REPORT!D:D,A15)+SUMIFS(PRODUCTION_REPORT!G:G,PRODUCTION_REPORT!F:F,A15)+SUMIFS(PRODUCTION_REPORT!I:I,PRODUCTION_REPORT!H:H,A15)+SUMIFS(PRODUCTION_REPORT!K:K,PRODUCTION_REPORT!J:J,A15)+SUMIFS(PRODUCTION_REPORT!M:M,PRODUCTION_REPORT!L:L,A15)+SUMIFS(PRODUCTION_REPORT!O:O,PRODUCTION_REPORT!N:N,A15))</f>
        <v>0</v>
      </c>
      <c r="E15">
        <f t="shared" si="0"/>
        <v>1500</v>
      </c>
      <c r="F15">
        <f>IF(A15="","",_xlfn.XLOOKUP(A15,MASTER_RAW_MATERIALS!B:B,MASTER_RAW_MATERIALS!E:E,0))</f>
        <v>200</v>
      </c>
      <c r="G15">
        <f t="shared" si="1"/>
        <v>300000</v>
      </c>
    </row>
    <row r="16" spans="1:8" x14ac:dyDescent="0.2">
      <c r="A16" t="str">
        <f>IF(MASTER_RAW_MATERIALS!B16="","",MASTER_RAW_MATERIALS!B16)</f>
        <v>CYRSTAL WRAP OUTER -5m(1 X25)</v>
      </c>
      <c r="B16">
        <f>IF(A16="","",MASTER_RAW_MATERIALS!D16)</f>
        <v>1500</v>
      </c>
      <c r="C16">
        <f>IF(A16="","",SUMIFS(PURCHASES!E:E,PURCHASES!D:D,A16))</f>
        <v>0</v>
      </c>
      <c r="D16">
        <f>IF(A16="","",SUMIFS(PRODUCTION_REPORT!E:E,PRODUCTION_REPORT!D:D,A16)+SUMIFS(PRODUCTION_REPORT!G:G,PRODUCTION_REPORT!F:F,A16)+SUMIFS(PRODUCTION_REPORT!I:I,PRODUCTION_REPORT!H:H,A16)+SUMIFS(PRODUCTION_REPORT!K:K,PRODUCTION_REPORT!J:J,A16)+SUMIFS(PRODUCTION_REPORT!M:M,PRODUCTION_REPORT!L:L,A16)+SUMIFS(PRODUCTION_REPORT!O:O,PRODUCTION_REPORT!N:N,A16))</f>
        <v>0</v>
      </c>
      <c r="E16">
        <f t="shared" si="0"/>
        <v>1500</v>
      </c>
      <c r="F16">
        <f>IF(A16="","",_xlfn.XLOOKUP(A16,MASTER_RAW_MATERIALS!B:B,MASTER_RAW_MATERIALS!E:E,0))</f>
        <v>200</v>
      </c>
      <c r="G16">
        <f t="shared" si="1"/>
        <v>300000</v>
      </c>
    </row>
    <row r="17" spans="1:7" x14ac:dyDescent="0.2">
      <c r="A17" t="str">
        <f>IF(MASTER_RAW_MATERIALS!B17="","",MASTER_RAW_MATERIALS!B17)</f>
        <v>CYRSTAL WRAP OUTER -10m(1 X25)</v>
      </c>
      <c r="B17">
        <f>IF(A17="","",MASTER_RAW_MATERIALS!D17)</f>
        <v>1500</v>
      </c>
      <c r="C17">
        <f>IF(A17="","",SUMIFS(PURCHASES!E:E,PURCHASES!D:D,A17))</f>
        <v>0</v>
      </c>
      <c r="D17">
        <f>IF(A17="","",SUMIFS(PRODUCTION_REPORT!E:E,PRODUCTION_REPORT!D:D,A17)+SUMIFS(PRODUCTION_REPORT!G:G,PRODUCTION_REPORT!F:F,A17)+SUMIFS(PRODUCTION_REPORT!I:I,PRODUCTION_REPORT!H:H,A17)+SUMIFS(PRODUCTION_REPORT!K:K,PRODUCTION_REPORT!J:J,A17)+SUMIFS(PRODUCTION_REPORT!M:M,PRODUCTION_REPORT!L:L,A17)+SUMIFS(PRODUCTION_REPORT!O:O,PRODUCTION_REPORT!N:N,A17))</f>
        <v>0</v>
      </c>
      <c r="E17">
        <f t="shared" si="0"/>
        <v>1500</v>
      </c>
      <c r="F17">
        <f>IF(A17="","",_xlfn.XLOOKUP(A17,MASTER_RAW_MATERIALS!B:B,MASTER_RAW_MATERIALS!E:E,0))</f>
        <v>200</v>
      </c>
      <c r="G17">
        <f t="shared" si="1"/>
        <v>300000</v>
      </c>
    </row>
    <row r="18" spans="1:7" x14ac:dyDescent="0.2">
      <c r="A18" t="str">
        <f>IF(MASTER_RAW_MATERIALS!B18="","",MASTER_RAW_MATERIALS!B18)</f>
        <v>CONTAINER OUTER 8342</v>
      </c>
      <c r="B18">
        <f>IF(A18="","",MASTER_RAW_MATERIALS!D18)</f>
        <v>1500</v>
      </c>
      <c r="C18">
        <f>IF(A18="","",SUMIFS(PURCHASES!E:E,PURCHASES!D:D,A18))</f>
        <v>0</v>
      </c>
      <c r="D18">
        <f>IF(A18="","",SUMIFS(PRODUCTION_REPORT!E:E,PRODUCTION_REPORT!D:D,A18)+SUMIFS(PRODUCTION_REPORT!G:G,PRODUCTION_REPORT!F:F,A18)+SUMIFS(PRODUCTION_REPORT!I:I,PRODUCTION_REPORT!H:H,A18)+SUMIFS(PRODUCTION_REPORT!K:K,PRODUCTION_REPORT!J:J,A18)+SUMIFS(PRODUCTION_REPORT!M:M,PRODUCTION_REPORT!L:L,A18)+SUMIFS(PRODUCTION_REPORT!O:O,PRODUCTION_REPORT!N:N,A18))</f>
        <v>0</v>
      </c>
      <c r="E18">
        <f t="shared" si="0"/>
        <v>1500</v>
      </c>
      <c r="F18">
        <f>IF(A18="","",_xlfn.XLOOKUP(A18,MASTER_RAW_MATERIALS!B:B,MASTER_RAW_MATERIALS!E:E,0))</f>
        <v>200</v>
      </c>
      <c r="G18">
        <f t="shared" si="1"/>
        <v>300000</v>
      </c>
    </row>
    <row r="19" spans="1:7" x14ac:dyDescent="0.2">
      <c r="A19" t="str">
        <f>IF(MASTER_RAW_MATERIALS!B19="","",MASTER_RAW_MATERIALS!B19)</f>
        <v>CONTAINER OUTER 8389</v>
      </c>
      <c r="B19">
        <f>IF(A19="","",MASTER_RAW_MATERIALS!D19)</f>
        <v>1500</v>
      </c>
      <c r="C19">
        <f>IF(A19="","",SUMIFS(PURCHASES!E:E,PURCHASES!D:D,A19))</f>
        <v>0</v>
      </c>
      <c r="D19">
        <f>IF(A19="","",SUMIFS(PRODUCTION_REPORT!E:E,PRODUCTION_REPORT!D:D,A19)+SUMIFS(PRODUCTION_REPORT!G:G,PRODUCTION_REPORT!F:F,A19)+SUMIFS(PRODUCTION_REPORT!I:I,PRODUCTION_REPORT!H:H,A19)+SUMIFS(PRODUCTION_REPORT!K:K,PRODUCTION_REPORT!J:J,A19)+SUMIFS(PRODUCTION_REPORT!M:M,PRODUCTION_REPORT!L:L,A19)+SUMIFS(PRODUCTION_REPORT!O:O,PRODUCTION_REPORT!N:N,A19))</f>
        <v>0</v>
      </c>
      <c r="E19">
        <f t="shared" si="0"/>
        <v>1500</v>
      </c>
      <c r="F19">
        <f>IF(A19="","",_xlfn.XLOOKUP(A19,MASTER_RAW_MATERIALS!B:B,MASTER_RAW_MATERIALS!E:E,0))</f>
        <v>200</v>
      </c>
      <c r="G19">
        <f t="shared" si="1"/>
        <v>300000</v>
      </c>
    </row>
    <row r="20" spans="1:7" x14ac:dyDescent="0.2">
      <c r="A20" t="str">
        <f>IF(MASTER_RAW_MATERIALS!B20="","",MASTER_RAW_MATERIALS!B20)</f>
        <v>CONTAINER LIDS OUTER : 8342 (1 X 25 )</v>
      </c>
      <c r="B20">
        <f>IF(A20="","",MASTER_RAW_MATERIALS!D20)</f>
        <v>1500</v>
      </c>
      <c r="C20">
        <f>IF(A20="","",SUMIFS(PURCHASES!E:E,PURCHASES!D:D,A20))</f>
        <v>0</v>
      </c>
      <c r="D20">
        <f>IF(A20="","",SUMIFS(PRODUCTION_REPORT!E:E,PRODUCTION_REPORT!D:D,A20)+SUMIFS(PRODUCTION_REPORT!G:G,PRODUCTION_REPORT!F:F,A20)+SUMIFS(PRODUCTION_REPORT!I:I,PRODUCTION_REPORT!H:H,A20)+SUMIFS(PRODUCTION_REPORT!K:K,PRODUCTION_REPORT!J:J,A20)+SUMIFS(PRODUCTION_REPORT!M:M,PRODUCTION_REPORT!L:L,A20)+SUMIFS(PRODUCTION_REPORT!O:O,PRODUCTION_REPORT!N:N,A20))</f>
        <v>0</v>
      </c>
      <c r="E20">
        <f t="shared" si="0"/>
        <v>1500</v>
      </c>
      <c r="F20">
        <f>IF(A20="","",_xlfn.XLOOKUP(A20,MASTER_RAW_MATERIALS!B:B,MASTER_RAW_MATERIALS!E:E,0))</f>
        <v>200</v>
      </c>
      <c r="G20">
        <f t="shared" si="1"/>
        <v>300000</v>
      </c>
    </row>
    <row r="21" spans="1:7" x14ac:dyDescent="0.2">
      <c r="A21" t="str">
        <f>IF(MASTER_RAW_MATERIALS!B21="","",MASTER_RAW_MATERIALS!B21)</f>
        <v>CONTAINER LIDS OUTER 8389</v>
      </c>
      <c r="B21">
        <f>IF(A21="","",MASTER_RAW_MATERIALS!D21)</f>
        <v>1500</v>
      </c>
      <c r="C21">
        <f>IF(A21="","",SUMIFS(PURCHASES!E:E,PURCHASES!D:D,A21))</f>
        <v>0</v>
      </c>
      <c r="D21">
        <f>IF(A21="","",SUMIFS(PRODUCTION_REPORT!E:E,PRODUCTION_REPORT!D:D,A21)+SUMIFS(PRODUCTION_REPORT!G:G,PRODUCTION_REPORT!F:F,A21)+SUMIFS(PRODUCTION_REPORT!I:I,PRODUCTION_REPORT!H:H,A21)+SUMIFS(PRODUCTION_REPORT!K:K,PRODUCTION_REPORT!J:J,A21)+SUMIFS(PRODUCTION_REPORT!M:M,PRODUCTION_REPORT!L:L,A21)+SUMIFS(PRODUCTION_REPORT!O:O,PRODUCTION_REPORT!N:N,A21))</f>
        <v>0</v>
      </c>
      <c r="E21">
        <f t="shared" si="0"/>
        <v>1500</v>
      </c>
      <c r="F21">
        <f>IF(A21="","",_xlfn.XLOOKUP(A21,MASTER_RAW_MATERIALS!B:B,MASTER_RAW_MATERIALS!E:E,0))</f>
        <v>200</v>
      </c>
      <c r="G21">
        <f t="shared" si="1"/>
        <v>300000</v>
      </c>
    </row>
    <row r="22" spans="1:7" x14ac:dyDescent="0.2">
      <c r="A22" t="str">
        <f>IF(MASTER_RAW_MATERIALS!B22="","",MASTER_RAW_MATERIALS!B22)</f>
        <v>GOLDEN FOIL INNER 45CM( 1 X 25 )</v>
      </c>
      <c r="B22">
        <f>IF(A22="","",MASTER_RAW_MATERIALS!D22)</f>
        <v>1500</v>
      </c>
      <c r="C22">
        <f>IF(A22="","",SUMIFS(PURCHASES!E:E,PURCHASES!D:D,A22))</f>
        <v>0</v>
      </c>
      <c r="D22">
        <f>IF(A22="","",SUMIFS(PRODUCTION_REPORT!E:E,PRODUCTION_REPORT!D:D,A22)+SUMIFS(PRODUCTION_REPORT!G:G,PRODUCTION_REPORT!F:F,A22)+SUMIFS(PRODUCTION_REPORT!I:I,PRODUCTION_REPORT!H:H,A22)+SUMIFS(PRODUCTION_REPORT!K:K,PRODUCTION_REPORT!J:J,A22)+SUMIFS(PRODUCTION_REPORT!M:M,PRODUCTION_REPORT!L:L,A22)+SUMIFS(PRODUCTION_REPORT!O:O,PRODUCTION_REPORT!N:N,A22))</f>
        <v>0</v>
      </c>
      <c r="E22">
        <f t="shared" si="0"/>
        <v>1500</v>
      </c>
      <c r="F22">
        <f>IF(A22="","",_xlfn.XLOOKUP(A22,MASTER_RAW_MATERIALS!B:B,MASTER_RAW_MATERIALS!E:E,0))</f>
        <v>200</v>
      </c>
      <c r="G22">
        <f t="shared" si="1"/>
        <v>300000</v>
      </c>
    </row>
    <row r="23" spans="1:7" x14ac:dyDescent="0.2">
      <c r="A23" t="str">
        <f>IF(MASTER_RAW_MATERIALS!B23="","",MASTER_RAW_MATERIALS!B23)</f>
        <v>GOLDEN PVC INNER 45 cm (1 X 25 )</v>
      </c>
      <c r="B23">
        <f>IF(A23="","",MASTER_RAW_MATERIALS!D23)</f>
        <v>1500</v>
      </c>
      <c r="C23">
        <f>IF(A23="","",SUMIFS(PURCHASES!E:E,PURCHASES!D:D,A23))</f>
        <v>0</v>
      </c>
      <c r="D23">
        <f>IF(A23="","",SUMIFS(PRODUCTION_REPORT!E:E,PRODUCTION_REPORT!D:D,A23)+SUMIFS(PRODUCTION_REPORT!G:G,PRODUCTION_REPORT!F:F,A23)+SUMIFS(PRODUCTION_REPORT!I:I,PRODUCTION_REPORT!H:H,A23)+SUMIFS(PRODUCTION_REPORT!K:K,PRODUCTION_REPORT!J:J,A23)+SUMIFS(PRODUCTION_REPORT!M:M,PRODUCTION_REPORT!L:L,A23)+SUMIFS(PRODUCTION_REPORT!O:O,PRODUCTION_REPORT!N:N,A23))</f>
        <v>0</v>
      </c>
      <c r="E23">
        <f t="shared" si="0"/>
        <v>1500</v>
      </c>
      <c r="F23">
        <f>IF(A23="","",_xlfn.XLOOKUP(A23,MASTER_RAW_MATERIALS!B:B,MASTER_RAW_MATERIALS!E:E,0))</f>
        <v>200</v>
      </c>
      <c r="G23">
        <f t="shared" si="1"/>
        <v>300000</v>
      </c>
    </row>
    <row r="24" spans="1:7" x14ac:dyDescent="0.2">
      <c r="A24" t="str">
        <f>IF(MASTER_RAW_MATERIALS!B24="","",MASTER_RAW_MATERIALS!B24)</f>
        <v>NON GOLDEN FOIL INNER 45cm( 1 X 100 )</v>
      </c>
      <c r="B24">
        <f>IF(A24="","",MASTER_RAW_MATERIALS!D24)</f>
        <v>1500</v>
      </c>
      <c r="C24">
        <f>IF(A24="","",SUMIFS(PURCHASES!E:E,PURCHASES!D:D,A24))</f>
        <v>0</v>
      </c>
      <c r="D24">
        <f>IF(A24="","",SUMIFS(PRODUCTION_REPORT!E:E,PRODUCTION_REPORT!D:D,A24)+SUMIFS(PRODUCTION_REPORT!G:G,PRODUCTION_REPORT!F:F,A24)+SUMIFS(PRODUCTION_REPORT!I:I,PRODUCTION_REPORT!H:H,A24)+SUMIFS(PRODUCTION_REPORT!K:K,PRODUCTION_REPORT!J:J,A24)+SUMIFS(PRODUCTION_REPORT!M:M,PRODUCTION_REPORT!L:L,A24)+SUMIFS(PRODUCTION_REPORT!O:O,PRODUCTION_REPORT!N:N,A24))</f>
        <v>0</v>
      </c>
      <c r="E24">
        <f t="shared" si="0"/>
        <v>1500</v>
      </c>
      <c r="F24">
        <f>IF(A24="","",_xlfn.XLOOKUP(A24,MASTER_RAW_MATERIALS!B:B,MASTER_RAW_MATERIALS!E:E,0))</f>
        <v>200</v>
      </c>
      <c r="G24">
        <f t="shared" si="1"/>
        <v>300000</v>
      </c>
    </row>
    <row r="25" spans="1:7" x14ac:dyDescent="0.2">
      <c r="A25" t="str">
        <f>IF(MASTER_RAW_MATERIALS!B25="","",MASTER_RAW_MATERIALS!B25)</f>
        <v>GOLDEN FOIL INNER 30cm(1 X 25 )</v>
      </c>
      <c r="B25">
        <f>IF(A25="","",MASTER_RAW_MATERIALS!D25)</f>
        <v>1500</v>
      </c>
      <c r="C25">
        <f>IF(A25="","",SUMIFS(PURCHASES!E:E,PURCHASES!D:D,A25))</f>
        <v>0</v>
      </c>
      <c r="D25">
        <f>IF(A25="","",SUMIFS(PRODUCTION_REPORT!E:E,PRODUCTION_REPORT!D:D,A25)+SUMIFS(PRODUCTION_REPORT!G:G,PRODUCTION_REPORT!F:F,A25)+SUMIFS(PRODUCTION_REPORT!I:I,PRODUCTION_REPORT!H:H,A25)+SUMIFS(PRODUCTION_REPORT!K:K,PRODUCTION_REPORT!J:J,A25)+SUMIFS(PRODUCTION_REPORT!M:M,PRODUCTION_REPORT!L:L,A25)+SUMIFS(PRODUCTION_REPORT!O:O,PRODUCTION_REPORT!N:N,A25))</f>
        <v>0</v>
      </c>
      <c r="E25">
        <f t="shared" si="0"/>
        <v>1500</v>
      </c>
      <c r="F25">
        <f>IF(A25="","",_xlfn.XLOOKUP(A25,MASTER_RAW_MATERIALS!B:B,MASTER_RAW_MATERIALS!E:E,0))</f>
        <v>200</v>
      </c>
      <c r="G25">
        <f t="shared" si="1"/>
        <v>300000</v>
      </c>
    </row>
    <row r="26" spans="1:7" x14ac:dyDescent="0.2">
      <c r="A26" t="str">
        <f>IF(MASTER_RAW_MATERIALS!B26="","",MASTER_RAW_MATERIALS!B26)</f>
        <v>LAMINATER GOLDEN FOIL INNER 30cm (1 X 30 )</v>
      </c>
      <c r="B26">
        <f>IF(A26="","",MASTER_RAW_MATERIALS!D26)</f>
        <v>1500</v>
      </c>
      <c r="C26">
        <f>IF(A26="","",SUMIFS(PURCHASES!E:E,PURCHASES!D:D,A26))</f>
        <v>0</v>
      </c>
      <c r="D26">
        <f>IF(A26="","",SUMIFS(PRODUCTION_REPORT!E:E,PRODUCTION_REPORT!D:D,A26)+SUMIFS(PRODUCTION_REPORT!G:G,PRODUCTION_REPORT!F:F,A26)+SUMIFS(PRODUCTION_REPORT!I:I,PRODUCTION_REPORT!H:H,A26)+SUMIFS(PRODUCTION_REPORT!K:K,PRODUCTION_REPORT!J:J,A26)+SUMIFS(PRODUCTION_REPORT!M:M,PRODUCTION_REPORT!L:L,A26)+SUMIFS(PRODUCTION_REPORT!O:O,PRODUCTION_REPORT!N:N,A26))</f>
        <v>0</v>
      </c>
      <c r="E26">
        <f t="shared" si="0"/>
        <v>1500</v>
      </c>
      <c r="F26">
        <f>IF(A26="","",_xlfn.XLOOKUP(A26,MASTER_RAW_MATERIALS!B:B,MASTER_RAW_MATERIALS!E:E,0))</f>
        <v>200</v>
      </c>
      <c r="G26">
        <f t="shared" si="1"/>
        <v>300000</v>
      </c>
    </row>
    <row r="27" spans="1:7" x14ac:dyDescent="0.2">
      <c r="A27" t="str">
        <f>IF(MASTER_RAW_MATERIALS!B27="","",MASTER_RAW_MATERIALS!B27)</f>
        <v>CYRSTAL WRAP INNER -5m</v>
      </c>
      <c r="B27">
        <f>IF(A27="","",MASTER_RAW_MATERIALS!D27)</f>
        <v>1500</v>
      </c>
      <c r="C27">
        <f>IF(A27="","",SUMIFS(PURCHASES!E:E,PURCHASES!D:D,A27))</f>
        <v>0</v>
      </c>
      <c r="D27">
        <f>IF(A27="","",SUMIFS(PRODUCTION_REPORT!E:E,PRODUCTION_REPORT!D:D,A27)+SUMIFS(PRODUCTION_REPORT!G:G,PRODUCTION_REPORT!F:F,A27)+SUMIFS(PRODUCTION_REPORT!I:I,PRODUCTION_REPORT!H:H,A27)+SUMIFS(PRODUCTION_REPORT!K:K,PRODUCTION_REPORT!J:J,A27)+SUMIFS(PRODUCTION_REPORT!M:M,PRODUCTION_REPORT!L:L,A27)+SUMIFS(PRODUCTION_REPORT!O:O,PRODUCTION_REPORT!N:N,A27))</f>
        <v>0</v>
      </c>
      <c r="E27">
        <f t="shared" si="0"/>
        <v>1500</v>
      </c>
      <c r="F27">
        <f>IF(A27="","",_xlfn.XLOOKUP(A27,MASTER_RAW_MATERIALS!B:B,MASTER_RAW_MATERIALS!E:E,0))</f>
        <v>200</v>
      </c>
      <c r="G27">
        <f t="shared" si="1"/>
        <v>300000</v>
      </c>
    </row>
    <row r="28" spans="1:7" x14ac:dyDescent="0.2">
      <c r="A28" t="str">
        <f>IF(MASTER_RAW_MATERIALS!B28="","",MASTER_RAW_MATERIALS!B28)</f>
        <v>CYRSTAL WRAP INNER -10m</v>
      </c>
      <c r="B28">
        <f>IF(A28="","",MASTER_RAW_MATERIALS!D28)</f>
        <v>1500</v>
      </c>
      <c r="C28">
        <f>IF(A28="","",SUMIFS(PURCHASES!E:E,PURCHASES!D:D,A28))</f>
        <v>0</v>
      </c>
      <c r="D28">
        <f>IF(A28="","",SUMIFS(PRODUCTION_REPORT!E:E,PRODUCTION_REPORT!D:D,A28)+SUMIFS(PRODUCTION_REPORT!G:G,PRODUCTION_REPORT!F:F,A28)+SUMIFS(PRODUCTION_REPORT!I:I,PRODUCTION_REPORT!H:H,A28)+SUMIFS(PRODUCTION_REPORT!K:K,PRODUCTION_REPORT!J:J,A28)+SUMIFS(PRODUCTION_REPORT!M:M,PRODUCTION_REPORT!L:L,A28)+SUMIFS(PRODUCTION_REPORT!O:O,PRODUCTION_REPORT!N:N,A28))</f>
        <v>0</v>
      </c>
      <c r="E28">
        <f t="shared" si="0"/>
        <v>1500</v>
      </c>
      <c r="F28">
        <f>IF(A28="","",_xlfn.XLOOKUP(A28,MASTER_RAW_MATERIALS!B:B,MASTER_RAW_MATERIALS!E:E,0))</f>
        <v>200</v>
      </c>
      <c r="G28">
        <f t="shared" si="1"/>
        <v>300000</v>
      </c>
    </row>
    <row r="29" spans="1:7" x14ac:dyDescent="0.2">
      <c r="A29" t="str">
        <f>IF(MASTER_RAW_MATERIALS!B29="","",MASTER_RAW_MATERIALS!B29)</f>
        <v>PAPER CORE 31 MM</v>
      </c>
      <c r="B29">
        <f>IF(A29="","",MASTER_RAW_MATERIALS!D29)</f>
        <v>1500</v>
      </c>
      <c r="C29">
        <f>IF(A29="","",SUMIFS(PURCHASES!E:E,PURCHASES!D:D,A29))</f>
        <v>0</v>
      </c>
      <c r="D29">
        <f>IF(A29="","",SUMIFS(PRODUCTION_REPORT!E:E,PRODUCTION_REPORT!D:D,A29)+SUMIFS(PRODUCTION_REPORT!G:G,PRODUCTION_REPORT!F:F,A29)+SUMIFS(PRODUCTION_REPORT!I:I,PRODUCTION_REPORT!H:H,A29)+SUMIFS(PRODUCTION_REPORT!K:K,PRODUCTION_REPORT!J:J,A29)+SUMIFS(PRODUCTION_REPORT!M:M,PRODUCTION_REPORT!L:L,A29)+SUMIFS(PRODUCTION_REPORT!O:O,PRODUCTION_REPORT!N:N,A29))</f>
        <v>0</v>
      </c>
      <c r="E29">
        <f t="shared" si="0"/>
        <v>1500</v>
      </c>
      <c r="F29">
        <f>IF(A29="","",_xlfn.XLOOKUP(A29,MASTER_RAW_MATERIALS!B:B,MASTER_RAW_MATERIALS!E:E,0))</f>
        <v>200</v>
      </c>
      <c r="G29">
        <f t="shared" si="1"/>
        <v>300000</v>
      </c>
    </row>
    <row r="30" spans="1:7" x14ac:dyDescent="0.2">
      <c r="A30" t="str">
        <f>IF(MASTER_RAW_MATERIALS!B30="","",MASTER_RAW_MATERIALS!B30)</f>
        <v>AVION FOIL LABEL 30mtr</v>
      </c>
      <c r="B30">
        <f>IF(A30="","",MASTER_RAW_MATERIALS!D30)</f>
        <v>1500</v>
      </c>
      <c r="C30">
        <f>IF(A30="","",SUMIFS(PURCHASES!E:E,PURCHASES!D:D,A30))</f>
        <v>0</v>
      </c>
      <c r="D30">
        <f>IF(A30="","",SUMIFS(PRODUCTION_REPORT!E:E,PRODUCTION_REPORT!D:D,A30)+SUMIFS(PRODUCTION_REPORT!G:G,PRODUCTION_REPORT!F:F,A30)+SUMIFS(PRODUCTION_REPORT!I:I,PRODUCTION_REPORT!H:H,A30)+SUMIFS(PRODUCTION_REPORT!K:K,PRODUCTION_REPORT!J:J,A30)+SUMIFS(PRODUCTION_REPORT!M:M,PRODUCTION_REPORT!L:L,A30)+SUMIFS(PRODUCTION_REPORT!O:O,PRODUCTION_REPORT!N:N,A30))</f>
        <v>0</v>
      </c>
      <c r="E30">
        <f t="shared" si="0"/>
        <v>1500</v>
      </c>
      <c r="F30">
        <f>IF(A30="","",_xlfn.XLOOKUP(A30,MASTER_RAW_MATERIALS!B:B,MASTER_RAW_MATERIALS!E:E,0))</f>
        <v>200</v>
      </c>
      <c r="G30">
        <f t="shared" si="1"/>
        <v>300000</v>
      </c>
    </row>
    <row r="31" spans="1:7" x14ac:dyDescent="0.2">
      <c r="A31" t="str">
        <f>IF(MASTER_RAW_MATERIALS!B31="","",MASTER_RAW_MATERIALS!B31)</f>
        <v>AVION FOIL LABEL 90mtr</v>
      </c>
      <c r="B31">
        <f>IF(A31="","",MASTER_RAW_MATERIALS!D31)</f>
        <v>1500</v>
      </c>
      <c r="C31">
        <f>IF(A31="","",SUMIFS(PURCHASES!E:E,PURCHASES!D:D,A31))</f>
        <v>0</v>
      </c>
      <c r="D31">
        <f>IF(A31="","",SUMIFS(PRODUCTION_REPORT!E:E,PRODUCTION_REPORT!D:D,A31)+SUMIFS(PRODUCTION_REPORT!G:G,PRODUCTION_REPORT!F:F,A31)+SUMIFS(PRODUCTION_REPORT!I:I,PRODUCTION_REPORT!H:H,A31)+SUMIFS(PRODUCTION_REPORT!K:K,PRODUCTION_REPORT!J:J,A31)+SUMIFS(PRODUCTION_REPORT!M:M,PRODUCTION_REPORT!L:L,A31)+SUMIFS(PRODUCTION_REPORT!O:O,PRODUCTION_REPORT!N:N,A31))</f>
        <v>0</v>
      </c>
      <c r="E31">
        <f t="shared" si="0"/>
        <v>1500</v>
      </c>
      <c r="F31">
        <f>IF(A31="","",_xlfn.XLOOKUP(A31,MASTER_RAW_MATERIALS!B:B,MASTER_RAW_MATERIALS!E:E,0))</f>
        <v>200</v>
      </c>
      <c r="G31">
        <f t="shared" si="1"/>
        <v>300000</v>
      </c>
    </row>
    <row r="32" spans="1:7" x14ac:dyDescent="0.2">
      <c r="A32" t="str">
        <f>IF(MASTER_RAW_MATERIALS!B32="","",MASTER_RAW_MATERIALS!B32)</f>
        <v>AVION FOIL LABEL 150mtr</v>
      </c>
      <c r="B32">
        <f>IF(A32="","",MASTER_RAW_MATERIALS!D32)</f>
        <v>1500</v>
      </c>
      <c r="C32">
        <f>IF(A32="","",SUMIFS(PURCHASES!E:E,PURCHASES!D:D,A32))</f>
        <v>0</v>
      </c>
      <c r="D32">
        <f>IF(A32="","",SUMIFS(PRODUCTION_REPORT!E:E,PRODUCTION_REPORT!D:D,A32)+SUMIFS(PRODUCTION_REPORT!G:G,PRODUCTION_REPORT!F:F,A32)+SUMIFS(PRODUCTION_REPORT!I:I,PRODUCTION_REPORT!H:H,A32)+SUMIFS(PRODUCTION_REPORT!K:K,PRODUCTION_REPORT!J:J,A32)+SUMIFS(PRODUCTION_REPORT!M:M,PRODUCTION_REPORT!L:L,A32)+SUMIFS(PRODUCTION_REPORT!O:O,PRODUCTION_REPORT!N:N,A32))</f>
        <v>0</v>
      </c>
      <c r="E32">
        <f t="shared" si="0"/>
        <v>1500</v>
      </c>
      <c r="F32">
        <f>IF(A32="","",_xlfn.XLOOKUP(A32,MASTER_RAW_MATERIALS!B:B,MASTER_RAW_MATERIALS!E:E,0))</f>
        <v>200</v>
      </c>
      <c r="G32">
        <f t="shared" si="1"/>
        <v>300000</v>
      </c>
    </row>
    <row r="33" spans="1:7" x14ac:dyDescent="0.2">
      <c r="A33" t="str">
        <f>IF(MASTER_RAW_MATERIALS!B33="","",MASTER_RAW_MATERIALS!B33)</f>
        <v>AVION FOIL 850 MTR LABEL</v>
      </c>
      <c r="B33">
        <f>IF(A33="","",MASTER_RAW_MATERIALS!D33)</f>
        <v>1500</v>
      </c>
      <c r="C33">
        <f>IF(A33="","",SUMIFS(PURCHASES!E:E,PURCHASES!D:D,A33))</f>
        <v>0</v>
      </c>
      <c r="D33">
        <f>IF(A33="","",SUMIFS(PRODUCTION_REPORT!E:E,PRODUCTION_REPORT!D:D,A33)+SUMIFS(PRODUCTION_REPORT!G:G,PRODUCTION_REPORT!F:F,A33)+SUMIFS(PRODUCTION_REPORT!I:I,PRODUCTION_REPORT!H:H,A33)+SUMIFS(PRODUCTION_REPORT!K:K,PRODUCTION_REPORT!J:J,A33)+SUMIFS(PRODUCTION_REPORT!M:M,PRODUCTION_REPORT!L:L,A33)+SUMIFS(PRODUCTION_REPORT!O:O,PRODUCTION_REPORT!N:N,A33))</f>
        <v>0</v>
      </c>
      <c r="E33">
        <f t="shared" si="0"/>
        <v>1500</v>
      </c>
      <c r="F33">
        <f>IF(A33="","",_xlfn.XLOOKUP(A33,MASTER_RAW_MATERIALS!B:B,MASTER_RAW_MATERIALS!E:E,0))</f>
        <v>200</v>
      </c>
      <c r="G33">
        <f t="shared" si="1"/>
        <v>300000</v>
      </c>
    </row>
    <row r="34" spans="1:7" x14ac:dyDescent="0.2">
      <c r="A34" t="str">
        <f>IF(MASTER_RAW_MATERIALS!B34="","",MASTER_RAW_MATERIALS!B34)</f>
        <v>BLADES 45cm ( Each bundles : 0.84 grm )</v>
      </c>
      <c r="B34">
        <f>IF(A34="","",MASTER_RAW_MATERIALS!D34)</f>
        <v>1500</v>
      </c>
      <c r="C34">
        <f>IF(A34="","",SUMIFS(PURCHASES!E:E,PURCHASES!D:D,A34))</f>
        <v>0</v>
      </c>
      <c r="D34">
        <f>IF(A34="","",SUMIFS(PRODUCTION_REPORT!E:E,PRODUCTION_REPORT!D:D,A34)+SUMIFS(PRODUCTION_REPORT!G:G,PRODUCTION_REPORT!F:F,A34)+SUMIFS(PRODUCTION_REPORT!I:I,PRODUCTION_REPORT!H:H,A34)+SUMIFS(PRODUCTION_REPORT!K:K,PRODUCTION_REPORT!J:J,A34)+SUMIFS(PRODUCTION_REPORT!M:M,PRODUCTION_REPORT!L:L,A34)+SUMIFS(PRODUCTION_REPORT!O:O,PRODUCTION_REPORT!N:N,A34))</f>
        <v>0</v>
      </c>
      <c r="E34">
        <f t="shared" si="0"/>
        <v>1500</v>
      </c>
      <c r="F34">
        <f>IF(A34="","",_xlfn.XLOOKUP(A34,MASTER_RAW_MATERIALS!B:B,MASTER_RAW_MATERIALS!E:E,0))</f>
        <v>200</v>
      </c>
      <c r="G34">
        <f t="shared" si="1"/>
        <v>300000</v>
      </c>
    </row>
    <row r="35" spans="1:7" x14ac:dyDescent="0.2">
      <c r="A35" t="str">
        <f>IF(MASTER_RAW_MATERIALS!B35="","",MASTER_RAW_MATERIALS!B35)</f>
        <v>BLADES 30cm ( Each bundles : 0.grm )</v>
      </c>
      <c r="B35">
        <f>IF(A35="","",MASTER_RAW_MATERIALS!D35)</f>
        <v>1500</v>
      </c>
      <c r="C35">
        <f>IF(A35="","",SUMIFS(PURCHASES!E:E,PURCHASES!D:D,A35))</f>
        <v>0</v>
      </c>
      <c r="D35">
        <f>IF(A35="","",SUMIFS(PRODUCTION_REPORT!E:E,PRODUCTION_REPORT!D:D,A35)+SUMIFS(PRODUCTION_REPORT!G:G,PRODUCTION_REPORT!F:F,A35)+SUMIFS(PRODUCTION_REPORT!I:I,PRODUCTION_REPORT!H:H,A35)+SUMIFS(PRODUCTION_REPORT!K:K,PRODUCTION_REPORT!J:J,A35)+SUMIFS(PRODUCTION_REPORT!M:M,PRODUCTION_REPORT!L:L,A35)+SUMIFS(PRODUCTION_REPORT!O:O,PRODUCTION_REPORT!N:N,A35))</f>
        <v>0</v>
      </c>
      <c r="E35">
        <f t="shared" si="0"/>
        <v>1500</v>
      </c>
      <c r="F35">
        <f>IF(A35="","",_xlfn.XLOOKUP(A35,MASTER_RAW_MATERIALS!B:B,MASTER_RAW_MATERIALS!E:E,0))</f>
        <v>200</v>
      </c>
      <c r="G35">
        <f t="shared" si="1"/>
        <v>300000</v>
      </c>
    </row>
    <row r="36" spans="1:7" x14ac:dyDescent="0.2">
      <c r="A36" t="str">
        <f>IF(MASTER_RAW_MATERIALS!B36="","",MASTER_RAW_MATERIALS!B36)</f>
        <v>AVION JUMBO CLING</v>
      </c>
      <c r="B36">
        <f>IF(A36="","",MASTER_RAW_MATERIALS!D36)</f>
        <v>1500</v>
      </c>
      <c r="C36">
        <f>IF(A36="","",SUMIFS(PURCHASES!E:E,PURCHASES!D:D,A36))</f>
        <v>0</v>
      </c>
      <c r="D36">
        <f>IF(A36="","",SUMIFS(PRODUCTION_REPORT!E:E,PRODUCTION_REPORT!D:D,A36)+SUMIFS(PRODUCTION_REPORT!G:G,PRODUCTION_REPORT!F:F,A36)+SUMIFS(PRODUCTION_REPORT!I:I,PRODUCTION_REPORT!H:H,A36)+SUMIFS(PRODUCTION_REPORT!K:K,PRODUCTION_REPORT!J:J,A36)+SUMIFS(PRODUCTION_REPORT!M:M,PRODUCTION_REPORT!L:L,A36)+SUMIFS(PRODUCTION_REPORT!O:O,PRODUCTION_REPORT!N:N,A36))</f>
        <v>0</v>
      </c>
      <c r="E36">
        <f t="shared" si="0"/>
        <v>1500</v>
      </c>
      <c r="F36">
        <f>IF(A36="","",_xlfn.XLOOKUP(A36,MASTER_RAW_MATERIALS!B:B,MASTER_RAW_MATERIALS!E:E,0))</f>
        <v>200</v>
      </c>
      <c r="G36">
        <f t="shared" si="1"/>
        <v>300000</v>
      </c>
    </row>
    <row r="37" spans="1:7" x14ac:dyDescent="0.2">
      <c r="A37" t="str">
        <f>IF(MASTER_RAW_MATERIALS!B37="","",MASTER_RAW_MATERIALS!B37)</f>
        <v>PP</v>
      </c>
      <c r="B37">
        <f>IF(A37="","",MASTER_RAW_MATERIALS!D37)</f>
        <v>1500</v>
      </c>
      <c r="C37">
        <f>IF(A37="","",SUMIFS(PURCHASES!E:E,PURCHASES!D:D,A37))</f>
        <v>5000</v>
      </c>
      <c r="D37">
        <f>IF(A37="","",SUMIFS(PRODUCTION_REPORT!E:E,PRODUCTION_REPORT!D:D,A37)+SUMIFS(PRODUCTION_REPORT!G:G,PRODUCTION_REPORT!F:F,A37)+SUMIFS(PRODUCTION_REPORT!I:I,PRODUCTION_REPORT!H:H,A37)+SUMIFS(PRODUCTION_REPORT!K:K,PRODUCTION_REPORT!J:J,A37)+SUMIFS(PRODUCTION_REPORT!M:M,PRODUCTION_REPORT!L:L,A37)+SUMIFS(PRODUCTION_REPORT!O:O,PRODUCTION_REPORT!N:N,A37))</f>
        <v>310</v>
      </c>
      <c r="E37">
        <f t="shared" si="0"/>
        <v>6190</v>
      </c>
      <c r="F37">
        <f>IF(A37="","",_xlfn.XLOOKUP(A37,MASTER_RAW_MATERIALS!B:B,MASTER_RAW_MATERIALS!E:E,0))</f>
        <v>200</v>
      </c>
      <c r="G37">
        <f t="shared" si="1"/>
        <v>1238000</v>
      </c>
    </row>
    <row r="38" spans="1:7" x14ac:dyDescent="0.2">
      <c r="A38" t="str">
        <f>IF(MASTER_RAW_MATERIALS!B38="","",MASTER_RAW_MATERIALS!B38)</f>
        <v>AVION 100 MTR CLING INNER CARTON</v>
      </c>
      <c r="B38">
        <f>IF(A38="","",MASTER_RAW_MATERIALS!D38)</f>
        <v>1500</v>
      </c>
      <c r="C38">
        <f>IF(A38="","",SUMIFS(PURCHASES!E:E,PURCHASES!D:D,A38))</f>
        <v>0</v>
      </c>
      <c r="D38">
        <f>IF(A38="","",SUMIFS(PRODUCTION_REPORT!E:E,PRODUCTION_REPORT!D:D,A38)+SUMIFS(PRODUCTION_REPORT!G:G,PRODUCTION_REPORT!F:F,A38)+SUMIFS(PRODUCTION_REPORT!I:I,PRODUCTION_REPORT!H:H,A38)+SUMIFS(PRODUCTION_REPORT!K:K,PRODUCTION_REPORT!J:J,A38)+SUMIFS(PRODUCTION_REPORT!M:M,PRODUCTION_REPORT!L:L,A38)+SUMIFS(PRODUCTION_REPORT!O:O,PRODUCTION_REPORT!N:N,A38))</f>
        <v>0</v>
      </c>
      <c r="E38">
        <f t="shared" si="0"/>
        <v>1500</v>
      </c>
      <c r="F38">
        <f>IF(A38="","",_xlfn.XLOOKUP(A38,MASTER_RAW_MATERIALS!B:B,MASTER_RAW_MATERIALS!E:E,0))</f>
        <v>200</v>
      </c>
      <c r="G38">
        <f t="shared" si="1"/>
        <v>300000</v>
      </c>
    </row>
    <row r="39" spans="1:7" x14ac:dyDescent="0.2">
      <c r="A39" t="str">
        <f>IF(MASTER_RAW_MATERIALS!B39="","",MASTER_RAW_MATERIALS!B39)</f>
        <v>AVION 100 MTR CLING OUTER CARTON</v>
      </c>
      <c r="B39">
        <f>IF(A39="","",MASTER_RAW_MATERIALS!D39)</f>
        <v>1500</v>
      </c>
      <c r="C39">
        <f>IF(A39="","",SUMIFS(PURCHASES!E:E,PURCHASES!D:D,A39))</f>
        <v>0</v>
      </c>
      <c r="D39">
        <f>IF(A39="","",SUMIFS(PRODUCTION_REPORT!E:E,PRODUCTION_REPORT!D:D,A39)+SUMIFS(PRODUCTION_REPORT!G:G,PRODUCTION_REPORT!F:F,A39)+SUMIFS(PRODUCTION_REPORT!I:I,PRODUCTION_REPORT!H:H,A39)+SUMIFS(PRODUCTION_REPORT!K:K,PRODUCTION_REPORT!J:J,A39)+SUMIFS(PRODUCTION_REPORT!M:M,PRODUCTION_REPORT!L:L,A39)+SUMIFS(PRODUCTION_REPORT!O:O,PRODUCTION_REPORT!N:N,A39))</f>
        <v>0</v>
      </c>
      <c r="E39">
        <f t="shared" si="0"/>
        <v>1500</v>
      </c>
      <c r="F39">
        <f>IF(A39="","",_xlfn.XLOOKUP(A39,MASTER_RAW_MATERIALS!B:B,MASTER_RAW_MATERIALS!E:E,0))</f>
        <v>200</v>
      </c>
      <c r="G39">
        <f t="shared" si="1"/>
        <v>300000</v>
      </c>
    </row>
    <row r="40" spans="1:7" x14ac:dyDescent="0.2">
      <c r="A40" t="str">
        <f>IF(MASTER_RAW_MATERIALS!B40="","",MASTER_RAW_MATERIALS!B40)</f>
        <v>AVION 300 MTR CLING CARTON</v>
      </c>
      <c r="B40">
        <f>IF(A40="","",MASTER_RAW_MATERIALS!D40)</f>
        <v>1500</v>
      </c>
      <c r="C40">
        <f>IF(A40="","",SUMIFS(PURCHASES!E:E,PURCHASES!D:D,A40))</f>
        <v>0</v>
      </c>
      <c r="D40">
        <f>IF(A40="","",SUMIFS(PRODUCTION_REPORT!E:E,PRODUCTION_REPORT!D:D,A40)+SUMIFS(PRODUCTION_REPORT!G:G,PRODUCTION_REPORT!F:F,A40)+SUMIFS(PRODUCTION_REPORT!I:I,PRODUCTION_REPORT!H:H,A40)+SUMIFS(PRODUCTION_REPORT!K:K,PRODUCTION_REPORT!J:J,A40)+SUMIFS(PRODUCTION_REPORT!M:M,PRODUCTION_REPORT!L:L,A40)+SUMIFS(PRODUCTION_REPORT!O:O,PRODUCTION_REPORT!N:N,A40))</f>
        <v>0</v>
      </c>
      <c r="E40">
        <f t="shared" si="0"/>
        <v>1500</v>
      </c>
      <c r="F40">
        <f>IF(A40="","",_xlfn.XLOOKUP(A40,MASTER_RAW_MATERIALS!B:B,MASTER_RAW_MATERIALS!E:E,0))</f>
        <v>200</v>
      </c>
      <c r="G40">
        <f t="shared" si="1"/>
        <v>300000</v>
      </c>
    </row>
    <row r="41" spans="1:7" x14ac:dyDescent="0.2">
      <c r="A41" t="str">
        <f>IF(MASTER_RAW_MATERIALS!B41="","",MASTER_RAW_MATERIALS!B41)</f>
        <v>45 MICRON FOIL 43.2 CM</v>
      </c>
      <c r="B41">
        <f>IF(A41="","",MASTER_RAW_MATERIALS!D41)</f>
        <v>1500</v>
      </c>
      <c r="C41">
        <f>IF(A41="","",SUMIFS(PURCHASES!E:E,PURCHASES!D:D,A41))</f>
        <v>0</v>
      </c>
      <c r="D41">
        <f>IF(A41="","",SUMIFS(PRODUCTION_REPORT!E:E,PRODUCTION_REPORT!D:D,A41)+SUMIFS(PRODUCTION_REPORT!G:G,PRODUCTION_REPORT!F:F,A41)+SUMIFS(PRODUCTION_REPORT!I:I,PRODUCTION_REPORT!H:H,A41)+SUMIFS(PRODUCTION_REPORT!K:K,PRODUCTION_REPORT!J:J,A41)+SUMIFS(PRODUCTION_REPORT!M:M,PRODUCTION_REPORT!L:L,A41)+SUMIFS(PRODUCTION_REPORT!O:O,PRODUCTION_REPORT!N:N,A41))</f>
        <v>0</v>
      </c>
      <c r="E41">
        <f t="shared" si="0"/>
        <v>1500</v>
      </c>
      <c r="F41">
        <f>IF(A41="","",_xlfn.XLOOKUP(A41,MASTER_RAW_MATERIALS!B:B,MASTER_RAW_MATERIALS!E:E,0))</f>
        <v>200</v>
      </c>
      <c r="G41">
        <f t="shared" si="1"/>
        <v>300000</v>
      </c>
    </row>
    <row r="42" spans="1:7" x14ac:dyDescent="0.2">
      <c r="A42" t="str">
        <f>IF(MASTER_RAW_MATERIALS!B42="","",MASTER_RAW_MATERIALS!B42)</f>
        <v>41 MICRON FOIL 43.2 CM</v>
      </c>
      <c r="B42">
        <f>IF(A42="","",MASTER_RAW_MATERIALS!D42)</f>
        <v>1500</v>
      </c>
      <c r="C42">
        <f>IF(A42="","",SUMIFS(PURCHASES!E:E,PURCHASES!D:D,A42))</f>
        <v>0</v>
      </c>
      <c r="D42">
        <f>IF(A42="","",SUMIFS(PRODUCTION_REPORT!E:E,PRODUCTION_REPORT!D:D,A42)+SUMIFS(PRODUCTION_REPORT!G:G,PRODUCTION_REPORT!F:F,A42)+SUMIFS(PRODUCTION_REPORT!I:I,PRODUCTION_REPORT!H:H,A42)+SUMIFS(PRODUCTION_REPORT!K:K,PRODUCTION_REPORT!J:J,A42)+SUMIFS(PRODUCTION_REPORT!M:M,PRODUCTION_REPORT!L:L,A42)+SUMIFS(PRODUCTION_REPORT!O:O,PRODUCTION_REPORT!N:N,A42))</f>
        <v>0</v>
      </c>
      <c r="E42">
        <f t="shared" si="0"/>
        <v>1500</v>
      </c>
      <c r="F42">
        <f>IF(A42="","",_xlfn.XLOOKUP(A42,MASTER_RAW_MATERIALS!B:B,MASTER_RAW_MATERIALS!E:E,0))</f>
        <v>200</v>
      </c>
      <c r="G42">
        <f t="shared" si="1"/>
        <v>300000</v>
      </c>
    </row>
    <row r="43" spans="1:7" x14ac:dyDescent="0.2">
      <c r="A43" t="str">
        <f>IF(MASTER_RAW_MATERIALS!B43="","",MASTER_RAW_MATERIALS!B43)</f>
        <v>37 MICRON FOIL 37.5 CM</v>
      </c>
      <c r="B43">
        <f>IF(A43="","",MASTER_RAW_MATERIALS!D43)</f>
        <v>1500</v>
      </c>
      <c r="C43">
        <f>IF(A43="","",SUMIFS(PURCHASES!E:E,PURCHASES!D:D,A43))</f>
        <v>0</v>
      </c>
      <c r="D43">
        <f>IF(A43="","",SUMIFS(PRODUCTION_REPORT!E:E,PRODUCTION_REPORT!D:D,A43)+SUMIFS(PRODUCTION_REPORT!G:G,PRODUCTION_REPORT!F:F,A43)+SUMIFS(PRODUCTION_REPORT!I:I,PRODUCTION_REPORT!H:H,A43)+SUMIFS(PRODUCTION_REPORT!K:K,PRODUCTION_REPORT!J:J,A43)+SUMIFS(PRODUCTION_REPORT!M:M,PRODUCTION_REPORT!L:L,A43)+SUMIFS(PRODUCTION_REPORT!O:O,PRODUCTION_REPORT!N:N,A43))</f>
        <v>200</v>
      </c>
      <c r="E43">
        <f t="shared" si="0"/>
        <v>1300</v>
      </c>
      <c r="F43">
        <f>IF(A43="","",_xlfn.XLOOKUP(A43,MASTER_RAW_MATERIALS!B:B,MASTER_RAW_MATERIALS!E:E,0))</f>
        <v>200</v>
      </c>
      <c r="G43">
        <f t="shared" si="1"/>
        <v>260000</v>
      </c>
    </row>
    <row r="44" spans="1:7" x14ac:dyDescent="0.2">
      <c r="A44" t="str">
        <f>IF(MASTER_RAW_MATERIALS!B44="","",MASTER_RAW_MATERIALS!B44)</f>
        <v>900X700MM LID PAPER</v>
      </c>
      <c r="B44">
        <f>IF(A44="","",MASTER_RAW_MATERIALS!D44)</f>
        <v>1500</v>
      </c>
      <c r="C44">
        <f>IF(A44="","",SUMIFS(PURCHASES!E:E,PURCHASES!D:D,A44))</f>
        <v>0</v>
      </c>
      <c r="D44">
        <f>IF(A44="","",SUMIFS(PRODUCTION_REPORT!E:E,PRODUCTION_REPORT!D:D,A44)+SUMIFS(PRODUCTION_REPORT!G:G,PRODUCTION_REPORT!F:F,A44)+SUMIFS(PRODUCTION_REPORT!I:I,PRODUCTION_REPORT!H:H,A44)+SUMIFS(PRODUCTION_REPORT!K:K,PRODUCTION_REPORT!J:J,A44)+SUMIFS(PRODUCTION_REPORT!M:M,PRODUCTION_REPORT!L:L,A44)+SUMIFS(PRODUCTION_REPORT!O:O,PRODUCTION_REPORT!N:N,A44))</f>
        <v>0</v>
      </c>
      <c r="E44">
        <f t="shared" si="0"/>
        <v>1500</v>
      </c>
      <c r="F44">
        <f>IF(A44="","",_xlfn.XLOOKUP(A44,MASTER_RAW_MATERIALS!B:B,MASTER_RAW_MATERIALS!E:E,0))</f>
        <v>200</v>
      </c>
      <c r="G44">
        <f t="shared" si="1"/>
        <v>300000</v>
      </c>
    </row>
    <row r="45" spans="1:7" x14ac:dyDescent="0.2">
      <c r="A45" t="str">
        <f>IF(MASTER_RAW_MATERIALS!B45="","",MASTER_RAW_MATERIALS!B45)</f>
        <v>950X600MM LID PAPER</v>
      </c>
      <c r="B45">
        <f>IF(A45="","",MASTER_RAW_MATERIALS!D45)</f>
        <v>1500</v>
      </c>
      <c r="C45">
        <f>IF(A45="","",SUMIFS(PURCHASES!E:E,PURCHASES!D:D,A45))</f>
        <v>0</v>
      </c>
      <c r="D45">
        <f>IF(A45="","",SUMIFS(PRODUCTION_REPORT!E:E,PRODUCTION_REPORT!D:D,A45)+SUMIFS(PRODUCTION_REPORT!G:G,PRODUCTION_REPORT!F:F,A45)+SUMIFS(PRODUCTION_REPORT!I:I,PRODUCTION_REPORT!H:H,A45)+SUMIFS(PRODUCTION_REPORT!K:K,PRODUCTION_REPORT!J:J,A45)+SUMIFS(PRODUCTION_REPORT!M:M,PRODUCTION_REPORT!L:L,A45)+SUMIFS(PRODUCTION_REPORT!O:O,PRODUCTION_REPORT!N:N,A45))</f>
        <v>0</v>
      </c>
      <c r="E45">
        <f t="shared" si="0"/>
        <v>1500</v>
      </c>
      <c r="F45">
        <f>IF(A45="","",_xlfn.XLOOKUP(A45,MASTER_RAW_MATERIALS!B:B,MASTER_RAW_MATERIALS!E:E,0))</f>
        <v>200</v>
      </c>
      <c r="G45">
        <f t="shared" si="1"/>
        <v>300000</v>
      </c>
    </row>
    <row r="46" spans="1:7" x14ac:dyDescent="0.2">
      <c r="A46" t="str">
        <f>IF(MASTER_RAW_MATERIALS!B46="","",MASTER_RAW_MATERIALS!B46)</f>
        <v>PAPER CORE 37 MM</v>
      </c>
      <c r="B46">
        <f>IF(A46="","",MASTER_RAW_MATERIALS!D46)</f>
        <v>1500</v>
      </c>
      <c r="C46">
        <f>IF(A46="","",SUMIFS(PURCHASES!E:E,PURCHASES!D:D,A46))</f>
        <v>0</v>
      </c>
      <c r="D46">
        <f>IF(A46="","",SUMIFS(PRODUCTION_REPORT!E:E,PRODUCTION_REPORT!D:D,A46)+SUMIFS(PRODUCTION_REPORT!G:G,PRODUCTION_REPORT!F:F,A46)+SUMIFS(PRODUCTION_REPORT!I:I,PRODUCTION_REPORT!H:H,A46)+SUMIFS(PRODUCTION_REPORT!K:K,PRODUCTION_REPORT!J:J,A46)+SUMIFS(PRODUCTION_REPORT!M:M,PRODUCTION_REPORT!L:L,A46)+SUMIFS(PRODUCTION_REPORT!O:O,PRODUCTION_REPORT!N:N,A46))</f>
        <v>0</v>
      </c>
      <c r="E46">
        <f t="shared" si="0"/>
        <v>1500</v>
      </c>
      <c r="F46">
        <f>IF(A46="","",_xlfn.XLOOKUP(A46,MASTER_RAW_MATERIALS!B:B,MASTER_RAW_MATERIALS!E:E,0))</f>
        <v>200</v>
      </c>
      <c r="G46">
        <f t="shared" si="1"/>
        <v>300000</v>
      </c>
    </row>
    <row r="47" spans="1:7" x14ac:dyDescent="0.2">
      <c r="A47" t="str">
        <f>IF(MASTER_RAW_MATERIALS!B47="","",MASTER_RAW_MATERIALS!B47)</f>
        <v>INNER CARTON</v>
      </c>
      <c r="B47">
        <f>IF(A47="","",MASTER_RAW_MATERIALS!D47)</f>
        <v>1500</v>
      </c>
      <c r="C47">
        <f>IF(A47="","",SUMIFS(PURCHASES!E:E,PURCHASES!D:D,A47))</f>
        <v>0</v>
      </c>
      <c r="D47">
        <f>IF(A47="","",SUMIFS(PRODUCTION_REPORT!E:E,PRODUCTION_REPORT!D:D,A47)+SUMIFS(PRODUCTION_REPORT!G:G,PRODUCTION_REPORT!F:F,A47)+SUMIFS(PRODUCTION_REPORT!I:I,PRODUCTION_REPORT!H:H,A47)+SUMIFS(PRODUCTION_REPORT!K:K,PRODUCTION_REPORT!J:J,A47)+SUMIFS(PRODUCTION_REPORT!M:M,PRODUCTION_REPORT!L:L,A47)+SUMIFS(PRODUCTION_REPORT!O:O,PRODUCTION_REPORT!N:N,A47))</f>
        <v>0</v>
      </c>
      <c r="E47">
        <f t="shared" si="0"/>
        <v>1500</v>
      </c>
      <c r="F47">
        <f>IF(A47="","",_xlfn.XLOOKUP(A47,MASTER_RAW_MATERIALS!B:B,MASTER_RAW_MATERIALS!E:E,0))</f>
        <v>200</v>
      </c>
      <c r="G47">
        <f t="shared" si="1"/>
        <v>300000</v>
      </c>
    </row>
    <row r="48" spans="1:7" x14ac:dyDescent="0.2">
      <c r="A48" t="str">
        <f>IF(MASTER_RAW_MATERIALS!B48="","",MASTER_RAW_MATERIALS!B48)</f>
        <v>14 MICRON FOIL 30 CM</v>
      </c>
      <c r="B48">
        <f>IF(A48="","",MASTER_RAW_MATERIALS!D48)</f>
        <v>1500</v>
      </c>
      <c r="C48">
        <f>IF(A48="","",SUMIFS(PURCHASES!E:E,PURCHASES!D:D,A48))</f>
        <v>0</v>
      </c>
      <c r="D48">
        <f>IF(A48="","",SUMIFS(PRODUCTION_REPORT!E:E,PRODUCTION_REPORT!D:D,A48)+SUMIFS(PRODUCTION_REPORT!G:G,PRODUCTION_REPORT!F:F,A48)+SUMIFS(PRODUCTION_REPORT!I:I,PRODUCTION_REPORT!H:H,A48)+SUMIFS(PRODUCTION_REPORT!K:K,PRODUCTION_REPORT!J:J,A48)+SUMIFS(PRODUCTION_REPORT!M:M,PRODUCTION_REPORT!L:L,A48)+SUMIFS(PRODUCTION_REPORT!O:O,PRODUCTION_REPORT!N:N,A48))</f>
        <v>0</v>
      </c>
      <c r="E48">
        <f t="shared" si="0"/>
        <v>1500</v>
      </c>
      <c r="F48">
        <f>IF(A48="","",_xlfn.XLOOKUP(A48,MASTER_RAW_MATERIALS!B:B,MASTER_RAW_MATERIALS!E:E,0))</f>
        <v>200</v>
      </c>
      <c r="G48">
        <f t="shared" si="1"/>
        <v>300000</v>
      </c>
    </row>
    <row r="49" spans="1:7" x14ac:dyDescent="0.2">
      <c r="A49" t="str">
        <f>IF(MASTER_RAW_MATERIALS!B49="","",MASTER_RAW_MATERIALS!B49)</f>
        <v>PAPER CORE 35 MM</v>
      </c>
      <c r="B49">
        <f>IF(A49="","",MASTER_RAW_MATERIALS!D49)</f>
        <v>1500</v>
      </c>
      <c r="C49">
        <f>IF(A49="","",SUMIFS(PURCHASES!E:E,PURCHASES!D:D,A49))</f>
        <v>0</v>
      </c>
      <c r="D49">
        <f>IF(A49="","",SUMIFS(PRODUCTION_REPORT!E:E,PRODUCTION_REPORT!D:D,A49)+SUMIFS(PRODUCTION_REPORT!G:G,PRODUCTION_REPORT!F:F,A49)+SUMIFS(PRODUCTION_REPORT!I:I,PRODUCTION_REPORT!H:H,A49)+SUMIFS(PRODUCTION_REPORT!K:K,PRODUCTION_REPORT!J:J,A49)+SUMIFS(PRODUCTION_REPORT!M:M,PRODUCTION_REPORT!L:L,A49)+SUMIFS(PRODUCTION_REPORT!O:O,PRODUCTION_REPORT!N:N,A49))</f>
        <v>0</v>
      </c>
      <c r="E49">
        <f t="shared" si="0"/>
        <v>1500</v>
      </c>
      <c r="F49">
        <f>IF(A49="","",_xlfn.XLOOKUP(A49,MASTER_RAW_MATERIALS!B:B,MASTER_RAW_MATERIALS!E:E,0))</f>
        <v>200</v>
      </c>
      <c r="G49">
        <f t="shared" si="1"/>
        <v>300000</v>
      </c>
    </row>
    <row r="50" spans="1:7" x14ac:dyDescent="0.2">
      <c r="A50" t="str">
        <f>IF(MASTER_RAW_MATERIALS!B50="","",MASTER_RAW_MATERIALS!B50)</f>
        <v>PAPER CORE 76 MM</v>
      </c>
      <c r="B50">
        <f>IF(A50="","",MASTER_RAW_MATERIALS!D50)</f>
        <v>1500</v>
      </c>
      <c r="C50">
        <f>IF(A50="","",SUMIFS(PURCHASES!E:E,PURCHASES!D:D,A50))</f>
        <v>0</v>
      </c>
      <c r="D50">
        <f>IF(A50="","",SUMIFS(PRODUCTION_REPORT!E:E,PRODUCTION_REPORT!D:D,A50)+SUMIFS(PRODUCTION_REPORT!G:G,PRODUCTION_REPORT!F:F,A50)+SUMIFS(PRODUCTION_REPORT!I:I,PRODUCTION_REPORT!H:H,A50)+SUMIFS(PRODUCTION_REPORT!K:K,PRODUCTION_REPORT!J:J,A50)+SUMIFS(PRODUCTION_REPORT!M:M,PRODUCTION_REPORT!L:L,A50)+SUMIFS(PRODUCTION_REPORT!O:O,PRODUCTION_REPORT!N:N,A50))</f>
        <v>0</v>
      </c>
      <c r="E50">
        <f t="shared" si="0"/>
        <v>1500</v>
      </c>
      <c r="F50">
        <f>IF(A50="","",_xlfn.XLOOKUP(A50,MASTER_RAW_MATERIALS!B:B,MASTER_RAW_MATERIALS!E:E,0))</f>
        <v>200</v>
      </c>
      <c r="G50">
        <f t="shared" si="1"/>
        <v>300000</v>
      </c>
    </row>
    <row r="51" spans="1:7" x14ac:dyDescent="0.2">
      <c r="A51" t="str">
        <f>IF(MASTER_RAW_MATERIALS!B51="","",MASTER_RAW_MATERIALS!B51)</f>
        <v>PAPER CORE GENERAL</v>
      </c>
      <c r="B51">
        <f>IF(A51="","",MASTER_RAW_MATERIALS!D51)</f>
        <v>1500</v>
      </c>
      <c r="C51">
        <f>IF(A51="","",SUMIFS(PURCHASES!E:E,PURCHASES!D:D,A51))</f>
        <v>0</v>
      </c>
      <c r="D51">
        <f>IF(A51="","",SUMIFS(PRODUCTION_REPORT!E:E,PRODUCTION_REPORT!D:D,A51)+SUMIFS(PRODUCTION_REPORT!G:G,PRODUCTION_REPORT!F:F,A51)+SUMIFS(PRODUCTION_REPORT!I:I,PRODUCTION_REPORT!H:H,A51)+SUMIFS(PRODUCTION_REPORT!K:K,PRODUCTION_REPORT!J:J,A51)+SUMIFS(PRODUCTION_REPORT!M:M,PRODUCTION_REPORT!L:L,A51)+SUMIFS(PRODUCTION_REPORT!O:O,PRODUCTION_REPORT!N:N,A51))</f>
        <v>0</v>
      </c>
      <c r="E51">
        <f t="shared" si="0"/>
        <v>1500</v>
      </c>
      <c r="F51">
        <f>IF(A51="","",_xlfn.XLOOKUP(A51,MASTER_RAW_MATERIALS!B:B,MASTER_RAW_MATERIALS!E:E,0))</f>
        <v>200</v>
      </c>
      <c r="G51">
        <f t="shared" si="1"/>
        <v>300000</v>
      </c>
    </row>
    <row r="52" spans="1:7" x14ac:dyDescent="0.2">
      <c r="A52" t="str">
        <f>IF(MASTER_RAW_MATERIALS!B52="","",MASTER_RAW_MATERIALS!B52)</f>
        <v>FILLER</v>
      </c>
      <c r="B52">
        <f>IF(A52="","",MASTER_RAW_MATERIALS!D52)</f>
        <v>1500</v>
      </c>
      <c r="C52">
        <f>IF(A52="","",SUMIFS(PURCHASES!E:E,PURCHASES!D:D,A52))</f>
        <v>0</v>
      </c>
      <c r="D52">
        <f>IF(A52="","",SUMIFS(PRODUCTION_REPORT!E:E,PRODUCTION_REPORT!D:D,A52)+SUMIFS(PRODUCTION_REPORT!G:G,PRODUCTION_REPORT!F:F,A52)+SUMIFS(PRODUCTION_REPORT!I:I,PRODUCTION_REPORT!H:H,A52)+SUMIFS(PRODUCTION_REPORT!K:K,PRODUCTION_REPORT!J:J,A52)+SUMIFS(PRODUCTION_REPORT!M:M,PRODUCTION_REPORT!L:L,A52)+SUMIFS(PRODUCTION_REPORT!O:O,PRODUCTION_REPORT!N:N,A52))</f>
        <v>0</v>
      </c>
      <c r="E52">
        <f t="shared" si="0"/>
        <v>1500</v>
      </c>
      <c r="F52">
        <f>IF(A52="","",_xlfn.XLOOKUP(A52,MASTER_RAW_MATERIALS!B:B,MASTER_RAW_MATERIALS!E:E,0))</f>
        <v>200</v>
      </c>
      <c r="G52">
        <f t="shared" si="1"/>
        <v>300000</v>
      </c>
    </row>
    <row r="53" spans="1:7" x14ac:dyDescent="0.2">
      <c r="A53" t="str">
        <f>IF(MASTER_RAW_MATERIALS!B53="","",MASTER_RAW_MATERIALS!B53)</f>
        <v/>
      </c>
      <c r="B53" t="str">
        <f>IF(A53="","",MASTER_RAW_MATERIALS!D53)</f>
        <v/>
      </c>
      <c r="C53" t="str">
        <f>IF(A53="","",SUMIFS(PURCHASES!E:E,PURCHASES!D:D,A53))</f>
        <v/>
      </c>
      <c r="D53" t="str">
        <f>IF(A53="","",SUMIFS(PRODUCTION_REPORT!E:E,PRODUCTION_REPORT!D:D,A53)+SUMIFS(PRODUCTION_REPORT!G:G,PRODUCTION_REPORT!F:F,A53)+SUMIFS(PRODUCTION_REPORT!I:I,PRODUCTION_REPORT!H:H,A53)+SUMIFS(PRODUCTION_REPORT!K:K,PRODUCTION_REPORT!J:J,A53)+SUMIFS(PRODUCTION_REPORT!M:M,PRODUCTION_REPORT!L:L,A53)+SUMIFS(PRODUCTION_REPORT!O:O,PRODUCTION_REPORT!N:N,A53))</f>
        <v/>
      </c>
      <c r="E53" t="str">
        <f t="shared" si="0"/>
        <v/>
      </c>
      <c r="F53" t="str">
        <f>IF(A53="","",_xludf.XLOOKUP(A53,MASTER_RAW_MATERIALS!B:B,MASTER_RAW_MATERIALS!E:E,0))</f>
        <v/>
      </c>
      <c r="G53" t="str">
        <f t="shared" si="1"/>
        <v/>
      </c>
    </row>
    <row r="54" spans="1:7" x14ac:dyDescent="0.2">
      <c r="A54" t="str">
        <f>IF(MASTER_RAW_MATERIALS!B54="","",MASTER_RAW_MATERIALS!B54)</f>
        <v/>
      </c>
      <c r="B54" t="str">
        <f>IF(A54="","",MASTER_RAW_MATERIALS!D54)</f>
        <v/>
      </c>
      <c r="C54" t="str">
        <f>IF(A54="","",SUMIFS(PURCHASES!E:E,PURCHASES!D:D,A54))</f>
        <v/>
      </c>
      <c r="D54" t="str">
        <f>IF(A54="","",SUMIFS(PRODUCTION_REPORT!E:E,PRODUCTION_REPORT!D:D,A54)+SUMIFS(PRODUCTION_REPORT!G:G,PRODUCTION_REPORT!F:F,A54)+SUMIFS(PRODUCTION_REPORT!I:I,PRODUCTION_REPORT!H:H,A54)+SUMIFS(PRODUCTION_REPORT!K:K,PRODUCTION_REPORT!J:J,A54)+SUMIFS(PRODUCTION_REPORT!M:M,PRODUCTION_REPORT!L:L,A54)+SUMIFS(PRODUCTION_REPORT!O:O,PRODUCTION_REPORT!N:N,A54))</f>
        <v/>
      </c>
      <c r="E54" t="str">
        <f t="shared" si="0"/>
        <v/>
      </c>
      <c r="F54" t="str">
        <f>IF(A54="","",_xludf.XLOOKUP(A54,MASTER_RAW_MATERIALS!B:B,MASTER_RAW_MATERIALS!E:E,0))</f>
        <v/>
      </c>
      <c r="G54" t="str">
        <f t="shared" si="1"/>
        <v/>
      </c>
    </row>
    <row r="55" spans="1:7" x14ac:dyDescent="0.2">
      <c r="A55" t="str">
        <f>IF(MASTER_RAW_MATERIALS!B55="","",MASTER_RAW_MATERIALS!B55)</f>
        <v/>
      </c>
      <c r="B55" t="str">
        <f>IF(A55="","",MASTER_RAW_MATERIALS!D55)</f>
        <v/>
      </c>
      <c r="C55" t="str">
        <f>IF(A55="","",SUMIFS(PURCHASES!E:E,PURCHASES!D:D,A55))</f>
        <v/>
      </c>
      <c r="D55" t="str">
        <f>IF(A55="","",SUMIFS(PRODUCTION_REPORT!E:E,PRODUCTION_REPORT!D:D,A55)+SUMIFS(PRODUCTION_REPORT!G:G,PRODUCTION_REPORT!F:F,A55)+SUMIFS(PRODUCTION_REPORT!I:I,PRODUCTION_REPORT!H:H,A55)+SUMIFS(PRODUCTION_REPORT!K:K,PRODUCTION_REPORT!J:J,A55)+SUMIFS(PRODUCTION_REPORT!M:M,PRODUCTION_REPORT!L:L,A55)+SUMIFS(PRODUCTION_REPORT!O:O,PRODUCTION_REPORT!N:N,A55))</f>
        <v/>
      </c>
      <c r="E55" t="str">
        <f t="shared" si="0"/>
        <v/>
      </c>
      <c r="F55" t="str">
        <f>IF(A55="","",_xludf.XLOOKUP(A55,MASTER_RAW_MATERIALS!B:B,MASTER_RAW_MATERIALS!E:E,0))</f>
        <v/>
      </c>
      <c r="G55" t="str">
        <f t="shared" si="1"/>
        <v/>
      </c>
    </row>
    <row r="56" spans="1:7" x14ac:dyDescent="0.2">
      <c r="A56" t="str">
        <f>IF(MASTER_RAW_MATERIALS!B56="","",MASTER_RAW_MATERIALS!B56)</f>
        <v/>
      </c>
      <c r="B56" t="str">
        <f>IF(A56="","",MASTER_RAW_MATERIALS!D56)</f>
        <v/>
      </c>
      <c r="C56" t="str">
        <f>IF(A56="","",SUMIFS(PURCHASES!E:E,PURCHASES!D:D,A56))</f>
        <v/>
      </c>
      <c r="D56" t="str">
        <f>IF(A56="","",SUMIFS(PRODUCTION_REPORT!E:E,PRODUCTION_REPORT!D:D,A56)+SUMIFS(PRODUCTION_REPORT!G:G,PRODUCTION_REPORT!F:F,A56)+SUMIFS(PRODUCTION_REPORT!I:I,PRODUCTION_REPORT!H:H,A56)+SUMIFS(PRODUCTION_REPORT!K:K,PRODUCTION_REPORT!J:J,A56)+SUMIFS(PRODUCTION_REPORT!M:M,PRODUCTION_REPORT!L:L,A56)+SUMIFS(PRODUCTION_REPORT!O:O,PRODUCTION_REPORT!N:N,A56))</f>
        <v/>
      </c>
      <c r="E56" t="str">
        <f t="shared" si="0"/>
        <v/>
      </c>
      <c r="F56" t="str">
        <f>IF(A56="","",_xludf.XLOOKUP(A56,MASTER_RAW_MATERIALS!B:B,MASTER_RAW_MATERIALS!E:E,0))</f>
        <v/>
      </c>
      <c r="G56" t="str">
        <f t="shared" si="1"/>
        <v/>
      </c>
    </row>
    <row r="57" spans="1:7" x14ac:dyDescent="0.2">
      <c r="A57" t="str">
        <f>IF(MASTER_RAW_MATERIALS!B57="","",MASTER_RAW_MATERIALS!B57)</f>
        <v/>
      </c>
      <c r="B57" t="str">
        <f>IF(A57="","",MASTER_RAW_MATERIALS!D57)</f>
        <v/>
      </c>
      <c r="C57" t="str">
        <f>IF(A57="","",SUMIFS(PURCHASES!E:E,PURCHASES!D:D,A57))</f>
        <v/>
      </c>
      <c r="D57" t="str">
        <f>IF(A57="","",SUMIFS(PRODUCTION_REPORT!E:E,PRODUCTION_REPORT!D:D,A57)+SUMIFS(PRODUCTION_REPORT!G:G,PRODUCTION_REPORT!F:F,A57)+SUMIFS(PRODUCTION_REPORT!I:I,PRODUCTION_REPORT!H:H,A57)+SUMIFS(PRODUCTION_REPORT!K:K,PRODUCTION_REPORT!J:J,A57)+SUMIFS(PRODUCTION_REPORT!M:M,PRODUCTION_REPORT!L:L,A57)+SUMIFS(PRODUCTION_REPORT!O:O,PRODUCTION_REPORT!N:N,A57))</f>
        <v/>
      </c>
      <c r="E57" t="str">
        <f t="shared" si="0"/>
        <v/>
      </c>
      <c r="F57" t="str">
        <f>IF(A57="","",_xludf.XLOOKUP(A57,MASTER_RAW_MATERIALS!B:B,MASTER_RAW_MATERIALS!E:E,0))</f>
        <v/>
      </c>
      <c r="G57" t="str">
        <f t="shared" si="1"/>
        <v/>
      </c>
    </row>
    <row r="58" spans="1:7" x14ac:dyDescent="0.2">
      <c r="A58" t="str">
        <f>IF(MASTER_RAW_MATERIALS!B58="","",MASTER_RAW_MATERIALS!B58)</f>
        <v/>
      </c>
      <c r="B58" t="str">
        <f>IF(A58="","",MASTER_RAW_MATERIALS!D58)</f>
        <v/>
      </c>
      <c r="C58" t="str">
        <f>IF(A58="","",SUMIFS(PURCHASES!E:E,PURCHASES!D:D,A58))</f>
        <v/>
      </c>
      <c r="D58" t="str">
        <f>IF(A58="","",SUMIFS(PRODUCTION_REPORT!E:E,PRODUCTION_REPORT!D:D,A58)+SUMIFS(PRODUCTION_REPORT!G:G,PRODUCTION_REPORT!F:F,A58)+SUMIFS(PRODUCTION_REPORT!I:I,PRODUCTION_REPORT!H:H,A58)+SUMIFS(PRODUCTION_REPORT!K:K,PRODUCTION_REPORT!J:J,A58)+SUMIFS(PRODUCTION_REPORT!M:M,PRODUCTION_REPORT!L:L,A58)+SUMIFS(PRODUCTION_REPORT!O:O,PRODUCTION_REPORT!N:N,A58))</f>
        <v/>
      </c>
      <c r="E58" t="str">
        <f t="shared" si="0"/>
        <v/>
      </c>
      <c r="F58" t="str">
        <f>IF(A58="","",_xludf.XLOOKUP(A58,MASTER_RAW_MATERIALS!B:B,MASTER_RAW_MATERIALS!E:E,0))</f>
        <v/>
      </c>
      <c r="G58" t="str">
        <f t="shared" si="1"/>
        <v/>
      </c>
    </row>
    <row r="59" spans="1:7" x14ac:dyDescent="0.2">
      <c r="A59" t="str">
        <f>IF(MASTER_RAW_MATERIALS!B59="","",MASTER_RAW_MATERIALS!B59)</f>
        <v/>
      </c>
      <c r="B59" t="str">
        <f>IF(A59="","",MASTER_RAW_MATERIALS!D59)</f>
        <v/>
      </c>
      <c r="C59" t="str">
        <f>IF(A59="","",SUMIFS(PURCHASES!E:E,PURCHASES!D:D,A59))</f>
        <v/>
      </c>
      <c r="D59" t="str">
        <f>IF(A59="","",SUMIFS(PRODUCTION_REPORT!E:E,PRODUCTION_REPORT!D:D,A59)+SUMIFS(PRODUCTION_REPORT!G:G,PRODUCTION_REPORT!F:F,A59)+SUMIFS(PRODUCTION_REPORT!I:I,PRODUCTION_REPORT!H:H,A59)+SUMIFS(PRODUCTION_REPORT!K:K,PRODUCTION_REPORT!J:J,A59)+SUMIFS(PRODUCTION_REPORT!M:M,PRODUCTION_REPORT!L:L,A59)+SUMIFS(PRODUCTION_REPORT!O:O,PRODUCTION_REPORT!N:N,A59))</f>
        <v/>
      </c>
      <c r="E59" t="str">
        <f t="shared" si="0"/>
        <v/>
      </c>
      <c r="F59" t="str">
        <f>IF(A59="","",_xludf.XLOOKUP(A59,MASTER_RAW_MATERIALS!B:B,MASTER_RAW_MATERIALS!E:E,0))</f>
        <v/>
      </c>
      <c r="G59" t="str">
        <f t="shared" si="1"/>
        <v/>
      </c>
    </row>
    <row r="60" spans="1:7" x14ac:dyDescent="0.2">
      <c r="A60" t="str">
        <f>IF(MASTER_RAW_MATERIALS!B60="","",MASTER_RAW_MATERIALS!B60)</f>
        <v/>
      </c>
      <c r="B60" t="str">
        <f>IF(A60="","",MASTER_RAW_MATERIALS!D60)</f>
        <v/>
      </c>
      <c r="C60" t="str">
        <f>IF(A60="","",SUMIFS(PURCHASES!E:E,PURCHASES!D:D,A60))</f>
        <v/>
      </c>
      <c r="D60" t="str">
        <f>IF(A60="","",SUMIFS(PRODUCTION_REPORT!E:E,PRODUCTION_REPORT!D:D,A60)+SUMIFS(PRODUCTION_REPORT!G:G,PRODUCTION_REPORT!F:F,A60)+SUMIFS(PRODUCTION_REPORT!I:I,PRODUCTION_REPORT!H:H,A60)+SUMIFS(PRODUCTION_REPORT!K:K,PRODUCTION_REPORT!J:J,A60)+SUMIFS(PRODUCTION_REPORT!M:M,PRODUCTION_REPORT!L:L,A60)+SUMIFS(PRODUCTION_REPORT!O:O,PRODUCTION_REPORT!N:N,A60))</f>
        <v/>
      </c>
      <c r="E60" t="str">
        <f t="shared" si="0"/>
        <v/>
      </c>
      <c r="F60" t="str">
        <f>IF(A60="","",_xludf.XLOOKUP(A60,MASTER_RAW_MATERIALS!B:B,MASTER_RAW_MATERIALS!E:E,0))</f>
        <v/>
      </c>
      <c r="G60" t="str">
        <f t="shared" si="1"/>
        <v/>
      </c>
    </row>
    <row r="61" spans="1:7" x14ac:dyDescent="0.2">
      <c r="A61" t="str">
        <f>IF(MASTER_RAW_MATERIALS!B61="","",MASTER_RAW_MATERIALS!B61)</f>
        <v/>
      </c>
      <c r="B61" t="str">
        <f>IF(A61="","",MASTER_RAW_MATERIALS!D61)</f>
        <v/>
      </c>
      <c r="C61" t="str">
        <f>IF(A61="","",SUMIFS(PURCHASES!E:E,PURCHASES!D:D,A61))</f>
        <v/>
      </c>
      <c r="D61" t="str">
        <f>IF(A61="","",SUMIFS(PRODUCTION_REPORT!E:E,PRODUCTION_REPORT!D:D,A61)+SUMIFS(PRODUCTION_REPORT!G:G,PRODUCTION_REPORT!F:F,A61)+SUMIFS(PRODUCTION_REPORT!I:I,PRODUCTION_REPORT!H:H,A61)+SUMIFS(PRODUCTION_REPORT!K:K,PRODUCTION_REPORT!J:J,A61)+SUMIFS(PRODUCTION_REPORT!M:M,PRODUCTION_REPORT!L:L,A61)+SUMIFS(PRODUCTION_REPORT!O:O,PRODUCTION_REPORT!N:N,A61))</f>
        <v/>
      </c>
      <c r="E61" t="str">
        <f t="shared" si="0"/>
        <v/>
      </c>
      <c r="F61" t="str">
        <f>IF(A61="","",_xludf.XLOOKUP(A61,MASTER_RAW_MATERIALS!B:B,MASTER_RAW_MATERIALS!E:E,0))</f>
        <v/>
      </c>
      <c r="G61" t="str">
        <f t="shared" si="1"/>
        <v/>
      </c>
    </row>
    <row r="62" spans="1:7" x14ac:dyDescent="0.2">
      <c r="A62" t="str">
        <f>IF(MASTER_RAW_MATERIALS!B62="","",MASTER_RAW_MATERIALS!B62)</f>
        <v/>
      </c>
      <c r="B62" t="str">
        <f>IF(A62="","",MASTER_RAW_MATERIALS!D62)</f>
        <v/>
      </c>
      <c r="C62" t="str">
        <f>IF(A62="","",SUMIFS(PURCHASES!E:E,PURCHASES!D:D,A62))</f>
        <v/>
      </c>
      <c r="D62" t="str">
        <f>IF(A62="","",SUMIFS(PRODUCTION_REPORT!E:E,PRODUCTION_REPORT!D:D,A62)+SUMIFS(PRODUCTION_REPORT!G:G,PRODUCTION_REPORT!F:F,A62)+SUMIFS(PRODUCTION_REPORT!I:I,PRODUCTION_REPORT!H:H,A62)+SUMIFS(PRODUCTION_REPORT!K:K,PRODUCTION_REPORT!J:J,A62)+SUMIFS(PRODUCTION_REPORT!M:M,PRODUCTION_REPORT!L:L,A62)+SUMIFS(PRODUCTION_REPORT!O:O,PRODUCTION_REPORT!N:N,A62))</f>
        <v/>
      </c>
      <c r="E62" t="str">
        <f t="shared" si="0"/>
        <v/>
      </c>
      <c r="F62" t="str">
        <f>IF(A62="","",_xludf.XLOOKUP(A62,MASTER_RAW_MATERIALS!B:B,MASTER_RAW_MATERIALS!E:E,0))</f>
        <v/>
      </c>
      <c r="G62" t="str">
        <f t="shared" si="1"/>
        <v/>
      </c>
    </row>
    <row r="63" spans="1:7" x14ac:dyDescent="0.2">
      <c r="A63" t="str">
        <f>IF(MASTER_RAW_MATERIALS!B63="","",MASTER_RAW_MATERIALS!B63)</f>
        <v/>
      </c>
      <c r="B63" t="str">
        <f>IF(A63="","",MASTER_RAW_MATERIALS!D63)</f>
        <v/>
      </c>
      <c r="C63" t="str">
        <f>IF(A63="","",SUMIFS(PURCHASES!E:E,PURCHASES!D:D,A63))</f>
        <v/>
      </c>
      <c r="D63" t="str">
        <f>IF(A63="","",SUMIFS(PRODUCTION_REPORT!E:E,PRODUCTION_REPORT!D:D,A63)+SUMIFS(PRODUCTION_REPORT!G:G,PRODUCTION_REPORT!F:F,A63)+SUMIFS(PRODUCTION_REPORT!I:I,PRODUCTION_REPORT!H:H,A63)+SUMIFS(PRODUCTION_REPORT!K:K,PRODUCTION_REPORT!J:J,A63)+SUMIFS(PRODUCTION_REPORT!M:M,PRODUCTION_REPORT!L:L,A63)+SUMIFS(PRODUCTION_REPORT!O:O,PRODUCTION_REPORT!N:N,A63))</f>
        <v/>
      </c>
      <c r="E63" t="str">
        <f t="shared" si="0"/>
        <v/>
      </c>
      <c r="F63" t="str">
        <f>IF(A63="","",_xludf.XLOOKUP(A63,MASTER_RAW_MATERIALS!B:B,MASTER_RAW_MATERIALS!E:E,0))</f>
        <v/>
      </c>
      <c r="G63" t="str">
        <f t="shared" si="1"/>
        <v/>
      </c>
    </row>
    <row r="64" spans="1:7" x14ac:dyDescent="0.2">
      <c r="A64" t="str">
        <f>IF(MASTER_RAW_MATERIALS!B64="","",MASTER_RAW_MATERIALS!B64)</f>
        <v/>
      </c>
      <c r="B64" t="str">
        <f>IF(A64="","",MASTER_RAW_MATERIALS!D64)</f>
        <v/>
      </c>
      <c r="C64" t="str">
        <f>IF(A64="","",SUMIFS(PURCHASES!E:E,PURCHASES!D:D,A64))</f>
        <v/>
      </c>
      <c r="D64" t="str">
        <f>IF(A64="","",SUMIFS(PRODUCTION_REPORT!E:E,PRODUCTION_REPORT!D:D,A64)+SUMIFS(PRODUCTION_REPORT!G:G,PRODUCTION_REPORT!F:F,A64)+SUMIFS(PRODUCTION_REPORT!I:I,PRODUCTION_REPORT!H:H,A64)+SUMIFS(PRODUCTION_REPORT!K:K,PRODUCTION_REPORT!J:J,A64)+SUMIFS(PRODUCTION_REPORT!M:M,PRODUCTION_REPORT!L:L,A64)+SUMIFS(PRODUCTION_REPORT!O:O,PRODUCTION_REPORT!N:N,A64))</f>
        <v/>
      </c>
      <c r="E64" t="str">
        <f t="shared" si="0"/>
        <v/>
      </c>
      <c r="F64" t="str">
        <f>IF(A64="","",_xludf.XLOOKUP(A64,MASTER_RAW_MATERIALS!B:B,MASTER_RAW_MATERIALS!E:E,0))</f>
        <v/>
      </c>
      <c r="G64" t="str">
        <f t="shared" si="1"/>
        <v/>
      </c>
    </row>
    <row r="65" spans="1:7" x14ac:dyDescent="0.2">
      <c r="A65" t="str">
        <f>IF(MASTER_RAW_MATERIALS!B65="","",MASTER_RAW_MATERIALS!B65)</f>
        <v/>
      </c>
      <c r="B65" t="str">
        <f>IF(A65="","",MASTER_RAW_MATERIALS!D65)</f>
        <v/>
      </c>
      <c r="C65" t="str">
        <f>IF(A65="","",SUMIFS(PURCHASES!E:E,PURCHASES!D:D,A65))</f>
        <v/>
      </c>
      <c r="D65" t="str">
        <f>IF(A65="","",SUMIFS(PRODUCTION_REPORT!E:E,PRODUCTION_REPORT!D:D,A65)+SUMIFS(PRODUCTION_REPORT!G:G,PRODUCTION_REPORT!F:F,A65)+SUMIFS(PRODUCTION_REPORT!I:I,PRODUCTION_REPORT!H:H,A65)+SUMIFS(PRODUCTION_REPORT!K:K,PRODUCTION_REPORT!J:J,A65)+SUMIFS(PRODUCTION_REPORT!M:M,PRODUCTION_REPORT!L:L,A65)+SUMIFS(PRODUCTION_REPORT!O:O,PRODUCTION_REPORT!N:N,A65))</f>
        <v/>
      </c>
      <c r="E65" t="str">
        <f t="shared" si="0"/>
        <v/>
      </c>
      <c r="F65" t="str">
        <f>IF(A65="","",_xludf.XLOOKUP(A65,MASTER_RAW_MATERIALS!B:B,MASTER_RAW_MATERIALS!E:E,0))</f>
        <v/>
      </c>
      <c r="G65" t="str">
        <f t="shared" si="1"/>
        <v/>
      </c>
    </row>
    <row r="66" spans="1:7" x14ac:dyDescent="0.2">
      <c r="A66" t="str">
        <f>IF(MASTER_RAW_MATERIALS!B66="","",MASTER_RAW_MATERIALS!B66)</f>
        <v/>
      </c>
      <c r="B66" t="str">
        <f>IF(A66="","",MASTER_RAW_MATERIALS!D66)</f>
        <v/>
      </c>
      <c r="C66" t="str">
        <f>IF(A66="","",SUMIFS(PURCHASES!E:E,PURCHASES!D:D,A66))</f>
        <v/>
      </c>
      <c r="D66" t="str">
        <f>IF(A66="","",SUMIFS(PRODUCTION_REPORT!E:E,PRODUCTION_REPORT!D:D,A66)+SUMIFS(PRODUCTION_REPORT!G:G,PRODUCTION_REPORT!F:F,A66)+SUMIFS(PRODUCTION_REPORT!I:I,PRODUCTION_REPORT!H:H,A66)+SUMIFS(PRODUCTION_REPORT!K:K,PRODUCTION_REPORT!J:J,A66)+SUMIFS(PRODUCTION_REPORT!M:M,PRODUCTION_REPORT!L:L,A66)+SUMIFS(PRODUCTION_REPORT!O:O,PRODUCTION_REPORT!N:N,A66))</f>
        <v/>
      </c>
      <c r="E66" t="str">
        <f t="shared" ref="E66:E129" si="2">IF(A66="","",B66+C66-D66)</f>
        <v/>
      </c>
      <c r="F66" t="str">
        <f>IF(A66="","",_xludf.XLOOKUP(A66,MASTER_RAW_MATERIALS!B:B,MASTER_RAW_MATERIALS!E:E,0))</f>
        <v/>
      </c>
      <c r="G66" t="str">
        <f t="shared" ref="G66:G129" si="3">IF(A66="","",E66*F66)</f>
        <v/>
      </c>
    </row>
    <row r="67" spans="1:7" x14ac:dyDescent="0.2">
      <c r="A67" t="str">
        <f>IF(MASTER_RAW_MATERIALS!B67="","",MASTER_RAW_MATERIALS!B67)</f>
        <v/>
      </c>
      <c r="B67" t="str">
        <f>IF(A67="","",MASTER_RAW_MATERIALS!D67)</f>
        <v/>
      </c>
      <c r="C67" t="str">
        <f>IF(A67="","",SUMIFS(PURCHASES!E:E,PURCHASES!D:D,A67))</f>
        <v/>
      </c>
      <c r="D67" t="str">
        <f>IF(A67="","",SUMIFS(PRODUCTION_REPORT!E:E,PRODUCTION_REPORT!D:D,A67)+SUMIFS(PRODUCTION_REPORT!G:G,PRODUCTION_REPORT!F:F,A67)+SUMIFS(PRODUCTION_REPORT!I:I,PRODUCTION_REPORT!H:H,A67)+SUMIFS(PRODUCTION_REPORT!K:K,PRODUCTION_REPORT!J:J,A67)+SUMIFS(PRODUCTION_REPORT!M:M,PRODUCTION_REPORT!L:L,A67)+SUMIFS(PRODUCTION_REPORT!O:O,PRODUCTION_REPORT!N:N,A67))</f>
        <v/>
      </c>
      <c r="E67" t="str">
        <f t="shared" si="2"/>
        <v/>
      </c>
      <c r="F67" t="str">
        <f>IF(A67="","",_xludf.XLOOKUP(A67,MASTER_RAW_MATERIALS!B:B,MASTER_RAW_MATERIALS!E:E,0))</f>
        <v/>
      </c>
      <c r="G67" t="str">
        <f t="shared" si="3"/>
        <v/>
      </c>
    </row>
    <row r="68" spans="1:7" x14ac:dyDescent="0.2">
      <c r="A68" t="str">
        <f>IF(MASTER_RAW_MATERIALS!B68="","",MASTER_RAW_MATERIALS!B68)</f>
        <v/>
      </c>
      <c r="B68" t="str">
        <f>IF(A68="","",MASTER_RAW_MATERIALS!D68)</f>
        <v/>
      </c>
      <c r="C68" t="str">
        <f>IF(A68="","",SUMIFS(PURCHASES!E:E,PURCHASES!D:D,A68))</f>
        <v/>
      </c>
      <c r="D68" t="str">
        <f>IF(A68="","",SUMIFS(PRODUCTION_REPORT!E:E,PRODUCTION_REPORT!D:D,A68)+SUMIFS(PRODUCTION_REPORT!G:G,PRODUCTION_REPORT!F:F,A68)+SUMIFS(PRODUCTION_REPORT!I:I,PRODUCTION_REPORT!H:H,A68)+SUMIFS(PRODUCTION_REPORT!K:K,PRODUCTION_REPORT!J:J,A68)+SUMIFS(PRODUCTION_REPORT!M:M,PRODUCTION_REPORT!L:L,A68)+SUMIFS(PRODUCTION_REPORT!O:O,PRODUCTION_REPORT!N:N,A68))</f>
        <v/>
      </c>
      <c r="E68" t="str">
        <f t="shared" si="2"/>
        <v/>
      </c>
      <c r="F68" t="str">
        <f>IF(A68="","",_xludf.XLOOKUP(A68,MASTER_RAW_MATERIALS!B:B,MASTER_RAW_MATERIALS!E:E,0))</f>
        <v/>
      </c>
      <c r="G68" t="str">
        <f t="shared" si="3"/>
        <v/>
      </c>
    </row>
    <row r="69" spans="1:7" x14ac:dyDescent="0.2">
      <c r="A69" t="str">
        <f>IF(MASTER_RAW_MATERIALS!B69="","",MASTER_RAW_MATERIALS!B69)</f>
        <v/>
      </c>
      <c r="B69" t="str">
        <f>IF(A69="","",MASTER_RAW_MATERIALS!D69)</f>
        <v/>
      </c>
      <c r="C69" t="str">
        <f>IF(A69="","",SUMIFS(PURCHASES!E:E,PURCHASES!D:D,A69))</f>
        <v/>
      </c>
      <c r="D69" t="str">
        <f>IF(A69="","",SUMIFS(PRODUCTION_REPORT!E:E,PRODUCTION_REPORT!D:D,A69)+SUMIFS(PRODUCTION_REPORT!G:G,PRODUCTION_REPORT!F:F,A69)+SUMIFS(PRODUCTION_REPORT!I:I,PRODUCTION_REPORT!H:H,A69)+SUMIFS(PRODUCTION_REPORT!K:K,PRODUCTION_REPORT!J:J,A69)+SUMIFS(PRODUCTION_REPORT!M:M,PRODUCTION_REPORT!L:L,A69)+SUMIFS(PRODUCTION_REPORT!O:O,PRODUCTION_REPORT!N:N,A69))</f>
        <v/>
      </c>
      <c r="E69" t="str">
        <f t="shared" si="2"/>
        <v/>
      </c>
      <c r="F69" t="str">
        <f>IF(A69="","",_xludf.XLOOKUP(A69,MASTER_RAW_MATERIALS!B:B,MASTER_RAW_MATERIALS!E:E,0))</f>
        <v/>
      </c>
      <c r="G69" t="str">
        <f t="shared" si="3"/>
        <v/>
      </c>
    </row>
    <row r="70" spans="1:7" x14ac:dyDescent="0.2">
      <c r="A70" t="str">
        <f>IF(MASTER_RAW_MATERIALS!B70="","",MASTER_RAW_MATERIALS!B70)</f>
        <v/>
      </c>
      <c r="B70" t="str">
        <f>IF(A70="","",MASTER_RAW_MATERIALS!D70)</f>
        <v/>
      </c>
      <c r="C70" t="str">
        <f>IF(A70="","",SUMIFS(PURCHASES!E:E,PURCHASES!D:D,A70))</f>
        <v/>
      </c>
      <c r="D70" t="str">
        <f>IF(A70="","",SUMIFS(PRODUCTION_REPORT!E:E,PRODUCTION_REPORT!D:D,A70)+SUMIFS(PRODUCTION_REPORT!G:G,PRODUCTION_REPORT!F:F,A70)+SUMIFS(PRODUCTION_REPORT!I:I,PRODUCTION_REPORT!H:H,A70)+SUMIFS(PRODUCTION_REPORT!K:K,PRODUCTION_REPORT!J:J,A70)+SUMIFS(PRODUCTION_REPORT!M:M,PRODUCTION_REPORT!L:L,A70)+SUMIFS(PRODUCTION_REPORT!O:O,PRODUCTION_REPORT!N:N,A70))</f>
        <v/>
      </c>
      <c r="E70" t="str">
        <f t="shared" si="2"/>
        <v/>
      </c>
      <c r="F70" t="str">
        <f>IF(A70="","",_xludf.XLOOKUP(A70,MASTER_RAW_MATERIALS!B:B,MASTER_RAW_MATERIALS!E:E,0))</f>
        <v/>
      </c>
      <c r="G70" t="str">
        <f t="shared" si="3"/>
        <v/>
      </c>
    </row>
    <row r="71" spans="1:7" x14ac:dyDescent="0.2">
      <c r="A71" t="str">
        <f>IF(MASTER_RAW_MATERIALS!B71="","",MASTER_RAW_MATERIALS!B71)</f>
        <v/>
      </c>
      <c r="B71" t="str">
        <f>IF(A71="","",MASTER_RAW_MATERIALS!D71)</f>
        <v/>
      </c>
      <c r="C71" t="str">
        <f>IF(A71="","",SUMIFS(PURCHASES!E:E,PURCHASES!D:D,A71))</f>
        <v/>
      </c>
      <c r="D71" t="str">
        <f>IF(A71="","",SUMIFS(PRODUCTION_REPORT!E:E,PRODUCTION_REPORT!D:D,A71)+SUMIFS(PRODUCTION_REPORT!G:G,PRODUCTION_REPORT!F:F,A71)+SUMIFS(PRODUCTION_REPORT!I:I,PRODUCTION_REPORT!H:H,A71)+SUMIFS(PRODUCTION_REPORT!K:K,PRODUCTION_REPORT!J:J,A71)+SUMIFS(PRODUCTION_REPORT!M:M,PRODUCTION_REPORT!L:L,A71)+SUMIFS(PRODUCTION_REPORT!O:O,PRODUCTION_REPORT!N:N,A71))</f>
        <v/>
      </c>
      <c r="E71" t="str">
        <f t="shared" si="2"/>
        <v/>
      </c>
      <c r="F71" t="str">
        <f>IF(A71="","",_xludf.XLOOKUP(A71,MASTER_RAW_MATERIALS!B:B,MASTER_RAW_MATERIALS!E:E,0))</f>
        <v/>
      </c>
      <c r="G71" t="str">
        <f t="shared" si="3"/>
        <v/>
      </c>
    </row>
    <row r="72" spans="1:7" x14ac:dyDescent="0.2">
      <c r="A72" t="str">
        <f>IF(MASTER_RAW_MATERIALS!B72="","",MASTER_RAW_MATERIALS!B72)</f>
        <v/>
      </c>
      <c r="B72" t="str">
        <f>IF(A72="","",MASTER_RAW_MATERIALS!D72)</f>
        <v/>
      </c>
      <c r="C72" t="str">
        <f>IF(A72="","",SUMIFS(PURCHASES!E:E,PURCHASES!D:D,A72))</f>
        <v/>
      </c>
      <c r="D72" t="str">
        <f>IF(A72="","",SUMIFS(PRODUCTION_REPORT!E:E,PRODUCTION_REPORT!D:D,A72)+SUMIFS(PRODUCTION_REPORT!G:G,PRODUCTION_REPORT!F:F,A72)+SUMIFS(PRODUCTION_REPORT!I:I,PRODUCTION_REPORT!H:H,A72)+SUMIFS(PRODUCTION_REPORT!K:K,PRODUCTION_REPORT!J:J,A72)+SUMIFS(PRODUCTION_REPORT!M:M,PRODUCTION_REPORT!L:L,A72)+SUMIFS(PRODUCTION_REPORT!O:O,PRODUCTION_REPORT!N:N,A72))</f>
        <v/>
      </c>
      <c r="E72" t="str">
        <f t="shared" si="2"/>
        <v/>
      </c>
      <c r="F72" t="str">
        <f>IF(A72="","",_xludf.XLOOKUP(A72,MASTER_RAW_MATERIALS!B:B,MASTER_RAW_MATERIALS!E:E,0))</f>
        <v/>
      </c>
      <c r="G72" t="str">
        <f t="shared" si="3"/>
        <v/>
      </c>
    </row>
    <row r="73" spans="1:7" x14ac:dyDescent="0.2">
      <c r="A73" t="str">
        <f>IF(MASTER_RAW_MATERIALS!B73="","",MASTER_RAW_MATERIALS!B73)</f>
        <v/>
      </c>
      <c r="B73" t="str">
        <f>IF(A73="","",MASTER_RAW_MATERIALS!D73)</f>
        <v/>
      </c>
      <c r="C73" t="str">
        <f>IF(A73="","",SUMIFS(PURCHASES!E:E,PURCHASES!D:D,A73))</f>
        <v/>
      </c>
      <c r="D73" t="str">
        <f>IF(A73="","",SUMIFS(PRODUCTION_REPORT!E:E,PRODUCTION_REPORT!D:D,A73)+SUMIFS(PRODUCTION_REPORT!G:G,PRODUCTION_REPORT!F:F,A73)+SUMIFS(PRODUCTION_REPORT!I:I,PRODUCTION_REPORT!H:H,A73)+SUMIFS(PRODUCTION_REPORT!K:K,PRODUCTION_REPORT!J:J,A73)+SUMIFS(PRODUCTION_REPORT!M:M,PRODUCTION_REPORT!L:L,A73)+SUMIFS(PRODUCTION_REPORT!O:O,PRODUCTION_REPORT!N:N,A73))</f>
        <v/>
      </c>
      <c r="E73" t="str">
        <f t="shared" si="2"/>
        <v/>
      </c>
      <c r="F73" t="str">
        <f>IF(A73="","",_xludf.XLOOKUP(A73,MASTER_RAW_MATERIALS!B:B,MASTER_RAW_MATERIALS!E:E,0))</f>
        <v/>
      </c>
      <c r="G73" t="str">
        <f t="shared" si="3"/>
        <v/>
      </c>
    </row>
    <row r="74" spans="1:7" x14ac:dyDescent="0.2">
      <c r="A74" t="str">
        <f>IF(MASTER_RAW_MATERIALS!B74="","",MASTER_RAW_MATERIALS!B74)</f>
        <v/>
      </c>
      <c r="B74" t="str">
        <f>IF(A74="","",MASTER_RAW_MATERIALS!D74)</f>
        <v/>
      </c>
      <c r="C74" t="str">
        <f>IF(A74="","",SUMIFS(PURCHASES!E:E,PURCHASES!D:D,A74))</f>
        <v/>
      </c>
      <c r="D74" t="str">
        <f>IF(A74="","",SUMIFS(PRODUCTION_REPORT!E:E,PRODUCTION_REPORT!D:D,A74)+SUMIFS(PRODUCTION_REPORT!G:G,PRODUCTION_REPORT!F:F,A74)+SUMIFS(PRODUCTION_REPORT!I:I,PRODUCTION_REPORT!H:H,A74)+SUMIFS(PRODUCTION_REPORT!K:K,PRODUCTION_REPORT!J:J,A74)+SUMIFS(PRODUCTION_REPORT!M:M,PRODUCTION_REPORT!L:L,A74)+SUMIFS(PRODUCTION_REPORT!O:O,PRODUCTION_REPORT!N:N,A74))</f>
        <v/>
      </c>
      <c r="E74" t="str">
        <f t="shared" si="2"/>
        <v/>
      </c>
      <c r="F74" t="str">
        <f>IF(A74="","",_xludf.XLOOKUP(A74,MASTER_RAW_MATERIALS!B:B,MASTER_RAW_MATERIALS!E:E,0))</f>
        <v/>
      </c>
      <c r="G74" t="str">
        <f t="shared" si="3"/>
        <v/>
      </c>
    </row>
    <row r="75" spans="1:7" x14ac:dyDescent="0.2">
      <c r="A75" t="str">
        <f>IF(MASTER_RAW_MATERIALS!B75="","",MASTER_RAW_MATERIALS!B75)</f>
        <v/>
      </c>
      <c r="B75" t="str">
        <f>IF(A75="","",MASTER_RAW_MATERIALS!D75)</f>
        <v/>
      </c>
      <c r="C75" t="str">
        <f>IF(A75="","",SUMIFS(PURCHASES!E:E,PURCHASES!D:D,A75))</f>
        <v/>
      </c>
      <c r="D75" t="str">
        <f>IF(A75="","",SUMIFS(PRODUCTION_REPORT!E:E,PRODUCTION_REPORT!D:D,A75)+SUMIFS(PRODUCTION_REPORT!G:G,PRODUCTION_REPORT!F:F,A75)+SUMIFS(PRODUCTION_REPORT!I:I,PRODUCTION_REPORT!H:H,A75)+SUMIFS(PRODUCTION_REPORT!K:K,PRODUCTION_REPORT!J:J,A75)+SUMIFS(PRODUCTION_REPORT!M:M,PRODUCTION_REPORT!L:L,A75)+SUMIFS(PRODUCTION_REPORT!O:O,PRODUCTION_REPORT!N:N,A75))</f>
        <v/>
      </c>
      <c r="E75" t="str">
        <f t="shared" si="2"/>
        <v/>
      </c>
      <c r="F75" t="str">
        <f>IF(A75="","",_xludf.XLOOKUP(A75,MASTER_RAW_MATERIALS!B:B,MASTER_RAW_MATERIALS!E:E,0))</f>
        <v/>
      </c>
      <c r="G75" t="str">
        <f t="shared" si="3"/>
        <v/>
      </c>
    </row>
    <row r="76" spans="1:7" x14ac:dyDescent="0.2">
      <c r="A76" t="str">
        <f>IF(MASTER_RAW_MATERIALS!B76="","",MASTER_RAW_MATERIALS!B76)</f>
        <v/>
      </c>
      <c r="B76" t="str">
        <f>IF(A76="","",MASTER_RAW_MATERIALS!D76)</f>
        <v/>
      </c>
      <c r="C76" t="str">
        <f>IF(A76="","",SUMIFS(PURCHASES!E:E,PURCHASES!D:D,A76))</f>
        <v/>
      </c>
      <c r="D76" t="str">
        <f>IF(A76="","",SUMIFS(PRODUCTION_REPORT!E:E,PRODUCTION_REPORT!D:D,A76)+SUMIFS(PRODUCTION_REPORT!G:G,PRODUCTION_REPORT!F:F,A76)+SUMIFS(PRODUCTION_REPORT!I:I,PRODUCTION_REPORT!H:H,A76)+SUMIFS(PRODUCTION_REPORT!K:K,PRODUCTION_REPORT!J:J,A76)+SUMIFS(PRODUCTION_REPORT!M:M,PRODUCTION_REPORT!L:L,A76)+SUMIFS(PRODUCTION_REPORT!O:O,PRODUCTION_REPORT!N:N,A76))</f>
        <v/>
      </c>
      <c r="E76" t="str">
        <f t="shared" si="2"/>
        <v/>
      </c>
      <c r="F76" t="str">
        <f>IF(A76="","",_xludf.XLOOKUP(A76,MASTER_RAW_MATERIALS!B:B,MASTER_RAW_MATERIALS!E:E,0))</f>
        <v/>
      </c>
      <c r="G76" t="str">
        <f t="shared" si="3"/>
        <v/>
      </c>
    </row>
    <row r="77" spans="1:7" x14ac:dyDescent="0.2">
      <c r="A77" t="str">
        <f>IF(MASTER_RAW_MATERIALS!B77="","",MASTER_RAW_MATERIALS!B77)</f>
        <v/>
      </c>
      <c r="B77" t="str">
        <f>IF(A77="","",MASTER_RAW_MATERIALS!D77)</f>
        <v/>
      </c>
      <c r="C77" t="str">
        <f>IF(A77="","",SUMIFS(PURCHASES!E:E,PURCHASES!D:D,A77))</f>
        <v/>
      </c>
      <c r="D77" t="str">
        <f>IF(A77="","",SUMIFS(PRODUCTION_REPORT!E:E,PRODUCTION_REPORT!D:D,A77)+SUMIFS(PRODUCTION_REPORT!G:G,PRODUCTION_REPORT!F:F,A77)+SUMIFS(PRODUCTION_REPORT!I:I,PRODUCTION_REPORT!H:H,A77)+SUMIFS(PRODUCTION_REPORT!K:K,PRODUCTION_REPORT!J:J,A77)+SUMIFS(PRODUCTION_REPORT!M:M,PRODUCTION_REPORT!L:L,A77)+SUMIFS(PRODUCTION_REPORT!O:O,PRODUCTION_REPORT!N:N,A77))</f>
        <v/>
      </c>
      <c r="E77" t="str">
        <f t="shared" si="2"/>
        <v/>
      </c>
      <c r="F77" t="str">
        <f>IF(A77="","",_xludf.XLOOKUP(A77,MASTER_RAW_MATERIALS!B:B,MASTER_RAW_MATERIALS!E:E,0))</f>
        <v/>
      </c>
      <c r="G77" t="str">
        <f t="shared" si="3"/>
        <v/>
      </c>
    </row>
    <row r="78" spans="1:7" x14ac:dyDescent="0.2">
      <c r="A78" t="str">
        <f>IF(MASTER_RAW_MATERIALS!B78="","",MASTER_RAW_MATERIALS!B78)</f>
        <v/>
      </c>
      <c r="B78" t="str">
        <f>IF(A78="","",MASTER_RAW_MATERIALS!D78)</f>
        <v/>
      </c>
      <c r="C78" t="str">
        <f>IF(A78="","",SUMIFS(PURCHASES!E:E,PURCHASES!D:D,A78))</f>
        <v/>
      </c>
      <c r="D78" t="str">
        <f>IF(A78="","",SUMIFS(PRODUCTION_REPORT!E:E,PRODUCTION_REPORT!D:D,A78)+SUMIFS(PRODUCTION_REPORT!G:G,PRODUCTION_REPORT!F:F,A78)+SUMIFS(PRODUCTION_REPORT!I:I,PRODUCTION_REPORT!H:H,A78)+SUMIFS(PRODUCTION_REPORT!K:K,PRODUCTION_REPORT!J:J,A78)+SUMIFS(PRODUCTION_REPORT!M:M,PRODUCTION_REPORT!L:L,A78)+SUMIFS(PRODUCTION_REPORT!O:O,PRODUCTION_REPORT!N:N,A78))</f>
        <v/>
      </c>
      <c r="E78" t="str">
        <f t="shared" si="2"/>
        <v/>
      </c>
      <c r="F78" t="str">
        <f>IF(A78="","",_xludf.XLOOKUP(A78,MASTER_RAW_MATERIALS!B:B,MASTER_RAW_MATERIALS!E:E,0))</f>
        <v/>
      </c>
      <c r="G78" t="str">
        <f t="shared" si="3"/>
        <v/>
      </c>
    </row>
    <row r="79" spans="1:7" x14ac:dyDescent="0.2">
      <c r="A79" t="str">
        <f>IF(MASTER_RAW_MATERIALS!B79="","",MASTER_RAW_MATERIALS!B79)</f>
        <v/>
      </c>
      <c r="B79" t="str">
        <f>IF(A79="","",MASTER_RAW_MATERIALS!D79)</f>
        <v/>
      </c>
      <c r="C79" t="str">
        <f>IF(A79="","",SUMIFS(PURCHASES!E:E,PURCHASES!D:D,A79))</f>
        <v/>
      </c>
      <c r="D79" t="str">
        <f>IF(A79="","",SUMIFS(PRODUCTION_REPORT!E:E,PRODUCTION_REPORT!D:D,A79)+SUMIFS(PRODUCTION_REPORT!G:G,PRODUCTION_REPORT!F:F,A79)+SUMIFS(PRODUCTION_REPORT!I:I,PRODUCTION_REPORT!H:H,A79)+SUMIFS(PRODUCTION_REPORT!K:K,PRODUCTION_REPORT!J:J,A79)+SUMIFS(PRODUCTION_REPORT!M:M,PRODUCTION_REPORT!L:L,A79)+SUMIFS(PRODUCTION_REPORT!O:O,PRODUCTION_REPORT!N:N,A79))</f>
        <v/>
      </c>
      <c r="E79" t="str">
        <f t="shared" si="2"/>
        <v/>
      </c>
      <c r="F79" t="str">
        <f>IF(A79="","",_xludf.XLOOKUP(A79,MASTER_RAW_MATERIALS!B:B,MASTER_RAW_MATERIALS!E:E,0))</f>
        <v/>
      </c>
      <c r="G79" t="str">
        <f t="shared" si="3"/>
        <v/>
      </c>
    </row>
    <row r="80" spans="1:7" x14ac:dyDescent="0.2">
      <c r="A80" t="str">
        <f>IF(MASTER_RAW_MATERIALS!B80="","",MASTER_RAW_MATERIALS!B80)</f>
        <v/>
      </c>
      <c r="B80" t="str">
        <f>IF(A80="","",MASTER_RAW_MATERIALS!D80)</f>
        <v/>
      </c>
      <c r="C80" t="str">
        <f>IF(A80="","",SUMIFS(PURCHASES!E:E,PURCHASES!D:D,A80))</f>
        <v/>
      </c>
      <c r="D80" t="str">
        <f>IF(A80="","",SUMIFS(PRODUCTION_REPORT!E:E,PRODUCTION_REPORT!D:D,A80)+SUMIFS(PRODUCTION_REPORT!G:G,PRODUCTION_REPORT!F:F,A80)+SUMIFS(PRODUCTION_REPORT!I:I,PRODUCTION_REPORT!H:H,A80)+SUMIFS(PRODUCTION_REPORT!K:K,PRODUCTION_REPORT!J:J,A80)+SUMIFS(PRODUCTION_REPORT!M:M,PRODUCTION_REPORT!L:L,A80)+SUMIFS(PRODUCTION_REPORT!O:O,PRODUCTION_REPORT!N:N,A80))</f>
        <v/>
      </c>
      <c r="E80" t="str">
        <f t="shared" si="2"/>
        <v/>
      </c>
      <c r="F80" t="str">
        <f>IF(A80="","",_xludf.XLOOKUP(A80,MASTER_RAW_MATERIALS!B:B,MASTER_RAW_MATERIALS!E:E,0))</f>
        <v/>
      </c>
      <c r="G80" t="str">
        <f t="shared" si="3"/>
        <v/>
      </c>
    </row>
    <row r="81" spans="1:7" x14ac:dyDescent="0.2">
      <c r="A81" t="str">
        <f>IF(MASTER_RAW_MATERIALS!B81="","",MASTER_RAW_MATERIALS!B81)</f>
        <v/>
      </c>
      <c r="B81" t="str">
        <f>IF(A81="","",MASTER_RAW_MATERIALS!D81)</f>
        <v/>
      </c>
      <c r="C81" t="str">
        <f>IF(A81="","",SUMIFS(PURCHASES!E:E,PURCHASES!D:D,A81))</f>
        <v/>
      </c>
      <c r="D81" t="str">
        <f>IF(A81="","",SUMIFS(PRODUCTION_REPORT!E:E,PRODUCTION_REPORT!D:D,A81)+SUMIFS(PRODUCTION_REPORT!G:G,PRODUCTION_REPORT!F:F,A81)+SUMIFS(PRODUCTION_REPORT!I:I,PRODUCTION_REPORT!H:H,A81)+SUMIFS(PRODUCTION_REPORT!K:K,PRODUCTION_REPORT!J:J,A81)+SUMIFS(PRODUCTION_REPORT!M:M,PRODUCTION_REPORT!L:L,A81)+SUMIFS(PRODUCTION_REPORT!O:O,PRODUCTION_REPORT!N:N,A81))</f>
        <v/>
      </c>
      <c r="E81" t="str">
        <f t="shared" si="2"/>
        <v/>
      </c>
      <c r="F81" t="str">
        <f>IF(A81="","",_xludf.XLOOKUP(A81,MASTER_RAW_MATERIALS!B:B,MASTER_RAW_MATERIALS!E:E,0))</f>
        <v/>
      </c>
      <c r="G81" t="str">
        <f t="shared" si="3"/>
        <v/>
      </c>
    </row>
    <row r="82" spans="1:7" x14ac:dyDescent="0.2">
      <c r="A82" t="str">
        <f>IF(MASTER_RAW_MATERIALS!B82="","",MASTER_RAW_MATERIALS!B82)</f>
        <v/>
      </c>
      <c r="B82" t="str">
        <f>IF(A82="","",MASTER_RAW_MATERIALS!D82)</f>
        <v/>
      </c>
      <c r="C82" t="str">
        <f>IF(A82="","",SUMIFS(PURCHASES!E:E,PURCHASES!D:D,A82))</f>
        <v/>
      </c>
      <c r="D82" t="str">
        <f>IF(A82="","",SUMIFS(PRODUCTION_REPORT!E:E,PRODUCTION_REPORT!D:D,A82)+SUMIFS(PRODUCTION_REPORT!G:G,PRODUCTION_REPORT!F:F,A82)+SUMIFS(PRODUCTION_REPORT!I:I,PRODUCTION_REPORT!H:H,A82)+SUMIFS(PRODUCTION_REPORT!K:K,PRODUCTION_REPORT!J:J,A82)+SUMIFS(PRODUCTION_REPORT!M:M,PRODUCTION_REPORT!L:L,A82)+SUMIFS(PRODUCTION_REPORT!O:O,PRODUCTION_REPORT!N:N,A82))</f>
        <v/>
      </c>
      <c r="E82" t="str">
        <f t="shared" si="2"/>
        <v/>
      </c>
      <c r="F82" t="str">
        <f>IF(A82="","",_xludf.XLOOKUP(A82,MASTER_RAW_MATERIALS!B:B,MASTER_RAW_MATERIALS!E:E,0))</f>
        <v/>
      </c>
      <c r="G82" t="str">
        <f t="shared" si="3"/>
        <v/>
      </c>
    </row>
    <row r="83" spans="1:7" x14ac:dyDescent="0.2">
      <c r="A83" t="str">
        <f>IF(MASTER_RAW_MATERIALS!B83="","",MASTER_RAW_MATERIALS!B83)</f>
        <v/>
      </c>
      <c r="B83" t="str">
        <f>IF(A83="","",MASTER_RAW_MATERIALS!D83)</f>
        <v/>
      </c>
      <c r="C83" t="str">
        <f>IF(A83="","",SUMIFS(PURCHASES!E:E,PURCHASES!D:D,A83))</f>
        <v/>
      </c>
      <c r="D83" t="str">
        <f>IF(A83="","",SUMIFS(PRODUCTION_REPORT!E:E,PRODUCTION_REPORT!D:D,A83)+SUMIFS(PRODUCTION_REPORT!G:G,PRODUCTION_REPORT!F:F,A83)+SUMIFS(PRODUCTION_REPORT!I:I,PRODUCTION_REPORT!H:H,A83)+SUMIFS(PRODUCTION_REPORT!K:K,PRODUCTION_REPORT!J:J,A83)+SUMIFS(PRODUCTION_REPORT!M:M,PRODUCTION_REPORT!L:L,A83)+SUMIFS(PRODUCTION_REPORT!O:O,PRODUCTION_REPORT!N:N,A83))</f>
        <v/>
      </c>
      <c r="E83" t="str">
        <f t="shared" si="2"/>
        <v/>
      </c>
      <c r="F83" t="str">
        <f>IF(A83="","",_xludf.XLOOKUP(A83,MASTER_RAW_MATERIALS!B:B,MASTER_RAW_MATERIALS!E:E,0))</f>
        <v/>
      </c>
      <c r="G83" t="str">
        <f t="shared" si="3"/>
        <v/>
      </c>
    </row>
    <row r="84" spans="1:7" x14ac:dyDescent="0.2">
      <c r="A84" t="str">
        <f>IF(MASTER_RAW_MATERIALS!B84="","",MASTER_RAW_MATERIALS!B84)</f>
        <v/>
      </c>
      <c r="B84" t="str">
        <f>IF(A84="","",MASTER_RAW_MATERIALS!D84)</f>
        <v/>
      </c>
      <c r="C84" t="str">
        <f>IF(A84="","",SUMIFS(PURCHASES!E:E,PURCHASES!D:D,A84))</f>
        <v/>
      </c>
      <c r="D84" t="str">
        <f>IF(A84="","",SUMIFS(PRODUCTION_REPORT!E:E,PRODUCTION_REPORT!D:D,A84)+SUMIFS(PRODUCTION_REPORT!G:G,PRODUCTION_REPORT!F:F,A84)+SUMIFS(PRODUCTION_REPORT!I:I,PRODUCTION_REPORT!H:H,A84)+SUMIFS(PRODUCTION_REPORT!K:K,PRODUCTION_REPORT!J:J,A84)+SUMIFS(PRODUCTION_REPORT!M:M,PRODUCTION_REPORT!L:L,A84)+SUMIFS(PRODUCTION_REPORT!O:O,PRODUCTION_REPORT!N:N,A84))</f>
        <v/>
      </c>
      <c r="E84" t="str">
        <f t="shared" si="2"/>
        <v/>
      </c>
      <c r="F84" t="str">
        <f>IF(A84="","",_xludf.XLOOKUP(A84,MASTER_RAW_MATERIALS!B:B,MASTER_RAW_MATERIALS!E:E,0))</f>
        <v/>
      </c>
      <c r="G84" t="str">
        <f t="shared" si="3"/>
        <v/>
      </c>
    </row>
    <row r="85" spans="1:7" x14ac:dyDescent="0.2">
      <c r="A85" t="str">
        <f>IF(MASTER_RAW_MATERIALS!B85="","",MASTER_RAW_MATERIALS!B85)</f>
        <v/>
      </c>
      <c r="B85" t="str">
        <f>IF(A85="","",MASTER_RAW_MATERIALS!D85)</f>
        <v/>
      </c>
      <c r="C85" t="str">
        <f>IF(A85="","",SUMIFS(PURCHASES!E:E,PURCHASES!D:D,A85))</f>
        <v/>
      </c>
      <c r="D85" t="str">
        <f>IF(A85="","",SUMIFS(PRODUCTION_REPORT!E:E,PRODUCTION_REPORT!D:D,A85)+SUMIFS(PRODUCTION_REPORT!G:G,PRODUCTION_REPORT!F:F,A85)+SUMIFS(PRODUCTION_REPORT!I:I,PRODUCTION_REPORT!H:H,A85)+SUMIFS(PRODUCTION_REPORT!K:K,PRODUCTION_REPORT!J:J,A85)+SUMIFS(PRODUCTION_REPORT!M:M,PRODUCTION_REPORT!L:L,A85)+SUMIFS(PRODUCTION_REPORT!O:O,PRODUCTION_REPORT!N:N,A85))</f>
        <v/>
      </c>
      <c r="E85" t="str">
        <f t="shared" si="2"/>
        <v/>
      </c>
      <c r="F85" t="str">
        <f>IF(A85="","",_xludf.XLOOKUP(A85,MASTER_RAW_MATERIALS!B:B,MASTER_RAW_MATERIALS!E:E,0))</f>
        <v/>
      </c>
      <c r="G85" t="str">
        <f t="shared" si="3"/>
        <v/>
      </c>
    </row>
    <row r="86" spans="1:7" x14ac:dyDescent="0.2">
      <c r="A86" t="str">
        <f>IF(MASTER_RAW_MATERIALS!B86="","",MASTER_RAW_MATERIALS!B86)</f>
        <v/>
      </c>
      <c r="B86" t="str">
        <f>IF(A86="","",MASTER_RAW_MATERIALS!D86)</f>
        <v/>
      </c>
      <c r="C86" t="str">
        <f>IF(A86="","",SUMIFS(PURCHASES!E:E,PURCHASES!D:D,A86))</f>
        <v/>
      </c>
      <c r="D86" t="str">
        <f>IF(A86="","",SUMIFS(PRODUCTION_REPORT!E:E,PRODUCTION_REPORT!D:D,A86)+SUMIFS(PRODUCTION_REPORT!G:G,PRODUCTION_REPORT!F:F,A86)+SUMIFS(PRODUCTION_REPORT!I:I,PRODUCTION_REPORT!H:H,A86)+SUMIFS(PRODUCTION_REPORT!K:K,PRODUCTION_REPORT!J:J,A86)+SUMIFS(PRODUCTION_REPORT!M:M,PRODUCTION_REPORT!L:L,A86)+SUMIFS(PRODUCTION_REPORT!O:O,PRODUCTION_REPORT!N:N,A86))</f>
        <v/>
      </c>
      <c r="E86" t="str">
        <f t="shared" si="2"/>
        <v/>
      </c>
      <c r="F86" t="str">
        <f>IF(A86="","",_xludf.XLOOKUP(A86,MASTER_RAW_MATERIALS!B:B,MASTER_RAW_MATERIALS!E:E,0))</f>
        <v/>
      </c>
      <c r="G86" t="str">
        <f t="shared" si="3"/>
        <v/>
      </c>
    </row>
    <row r="87" spans="1:7" x14ac:dyDescent="0.2">
      <c r="A87" t="str">
        <f>IF(MASTER_RAW_MATERIALS!B87="","",MASTER_RAW_MATERIALS!B87)</f>
        <v/>
      </c>
      <c r="B87" t="str">
        <f>IF(A87="","",MASTER_RAW_MATERIALS!D87)</f>
        <v/>
      </c>
      <c r="C87" t="str">
        <f>IF(A87="","",SUMIFS(PURCHASES!E:E,PURCHASES!D:D,A87))</f>
        <v/>
      </c>
      <c r="D87" t="str">
        <f>IF(A87="","",SUMIFS(PRODUCTION_REPORT!E:E,PRODUCTION_REPORT!D:D,A87)+SUMIFS(PRODUCTION_REPORT!G:G,PRODUCTION_REPORT!F:F,A87)+SUMIFS(PRODUCTION_REPORT!I:I,PRODUCTION_REPORT!H:H,A87)+SUMIFS(PRODUCTION_REPORT!K:K,PRODUCTION_REPORT!J:J,A87)+SUMIFS(PRODUCTION_REPORT!M:M,PRODUCTION_REPORT!L:L,A87)+SUMIFS(PRODUCTION_REPORT!O:O,PRODUCTION_REPORT!N:N,A87))</f>
        <v/>
      </c>
      <c r="E87" t="str">
        <f t="shared" si="2"/>
        <v/>
      </c>
      <c r="F87" t="str">
        <f>IF(A87="","",_xludf.XLOOKUP(A87,MASTER_RAW_MATERIALS!B:B,MASTER_RAW_MATERIALS!E:E,0))</f>
        <v/>
      </c>
      <c r="G87" t="str">
        <f t="shared" si="3"/>
        <v/>
      </c>
    </row>
    <row r="88" spans="1:7" x14ac:dyDescent="0.2">
      <c r="A88" t="str">
        <f>IF(MASTER_RAW_MATERIALS!B88="","",MASTER_RAW_MATERIALS!B88)</f>
        <v/>
      </c>
      <c r="B88" t="str">
        <f>IF(A88="","",MASTER_RAW_MATERIALS!D88)</f>
        <v/>
      </c>
      <c r="C88" t="str">
        <f>IF(A88="","",SUMIFS(PURCHASES!E:E,PURCHASES!D:D,A88))</f>
        <v/>
      </c>
      <c r="D88" t="str">
        <f>IF(A88="","",SUMIFS(PRODUCTION_REPORT!E:E,PRODUCTION_REPORT!D:D,A88)+SUMIFS(PRODUCTION_REPORT!G:G,PRODUCTION_REPORT!F:F,A88)+SUMIFS(PRODUCTION_REPORT!I:I,PRODUCTION_REPORT!H:H,A88)+SUMIFS(PRODUCTION_REPORT!K:K,PRODUCTION_REPORT!J:J,A88)+SUMIFS(PRODUCTION_REPORT!M:M,PRODUCTION_REPORT!L:L,A88)+SUMIFS(PRODUCTION_REPORT!O:O,PRODUCTION_REPORT!N:N,A88))</f>
        <v/>
      </c>
      <c r="E88" t="str">
        <f t="shared" si="2"/>
        <v/>
      </c>
      <c r="F88" t="str">
        <f>IF(A88="","",_xludf.XLOOKUP(A88,MASTER_RAW_MATERIALS!B:B,MASTER_RAW_MATERIALS!E:E,0))</f>
        <v/>
      </c>
      <c r="G88" t="str">
        <f t="shared" si="3"/>
        <v/>
      </c>
    </row>
    <row r="89" spans="1:7" x14ac:dyDescent="0.2">
      <c r="A89" t="str">
        <f>IF(MASTER_RAW_MATERIALS!B89="","",MASTER_RAW_MATERIALS!B89)</f>
        <v/>
      </c>
      <c r="B89" t="str">
        <f>IF(A89="","",MASTER_RAW_MATERIALS!D89)</f>
        <v/>
      </c>
      <c r="C89" t="str">
        <f>IF(A89="","",SUMIFS(PURCHASES!E:E,PURCHASES!D:D,A89))</f>
        <v/>
      </c>
      <c r="D89" t="str">
        <f>IF(A89="","",SUMIFS(PRODUCTION_REPORT!E:E,PRODUCTION_REPORT!D:D,A89)+SUMIFS(PRODUCTION_REPORT!G:G,PRODUCTION_REPORT!F:F,A89)+SUMIFS(PRODUCTION_REPORT!I:I,PRODUCTION_REPORT!H:H,A89)+SUMIFS(PRODUCTION_REPORT!K:K,PRODUCTION_REPORT!J:J,A89)+SUMIFS(PRODUCTION_REPORT!M:M,PRODUCTION_REPORT!L:L,A89)+SUMIFS(PRODUCTION_REPORT!O:O,PRODUCTION_REPORT!N:N,A89))</f>
        <v/>
      </c>
      <c r="E89" t="str">
        <f t="shared" si="2"/>
        <v/>
      </c>
      <c r="F89" t="str">
        <f>IF(A89="","",_xludf.XLOOKUP(A89,MASTER_RAW_MATERIALS!B:B,MASTER_RAW_MATERIALS!E:E,0))</f>
        <v/>
      </c>
      <c r="G89" t="str">
        <f t="shared" si="3"/>
        <v/>
      </c>
    </row>
    <row r="90" spans="1:7" x14ac:dyDescent="0.2">
      <c r="A90" t="str">
        <f>IF(MASTER_RAW_MATERIALS!B90="","",MASTER_RAW_MATERIALS!B90)</f>
        <v/>
      </c>
      <c r="B90" t="str">
        <f>IF(A90="","",MASTER_RAW_MATERIALS!D90)</f>
        <v/>
      </c>
      <c r="C90" t="str">
        <f>IF(A90="","",SUMIFS(PURCHASES!E:E,PURCHASES!D:D,A90))</f>
        <v/>
      </c>
      <c r="D90" t="str">
        <f>IF(A90="","",SUMIFS(PRODUCTION_REPORT!E:E,PRODUCTION_REPORT!D:D,A90)+SUMIFS(PRODUCTION_REPORT!G:G,PRODUCTION_REPORT!F:F,A90)+SUMIFS(PRODUCTION_REPORT!I:I,PRODUCTION_REPORT!H:H,A90)+SUMIFS(PRODUCTION_REPORT!K:K,PRODUCTION_REPORT!J:J,A90)+SUMIFS(PRODUCTION_REPORT!M:M,PRODUCTION_REPORT!L:L,A90)+SUMIFS(PRODUCTION_REPORT!O:O,PRODUCTION_REPORT!N:N,A90))</f>
        <v/>
      </c>
      <c r="E90" t="str">
        <f t="shared" si="2"/>
        <v/>
      </c>
      <c r="F90" t="str">
        <f>IF(A90="","",_xludf.XLOOKUP(A90,MASTER_RAW_MATERIALS!B:B,MASTER_RAW_MATERIALS!E:E,0))</f>
        <v/>
      </c>
      <c r="G90" t="str">
        <f t="shared" si="3"/>
        <v/>
      </c>
    </row>
    <row r="91" spans="1:7" x14ac:dyDescent="0.2">
      <c r="A91" t="str">
        <f>IF(MASTER_RAW_MATERIALS!B91="","",MASTER_RAW_MATERIALS!B91)</f>
        <v/>
      </c>
      <c r="B91" t="str">
        <f>IF(A91="","",MASTER_RAW_MATERIALS!D91)</f>
        <v/>
      </c>
      <c r="C91" t="str">
        <f>IF(A91="","",SUMIFS(PURCHASES!E:E,PURCHASES!D:D,A91))</f>
        <v/>
      </c>
      <c r="D91" t="str">
        <f>IF(A91="","",SUMIFS(PRODUCTION_REPORT!E:E,PRODUCTION_REPORT!D:D,A91)+SUMIFS(PRODUCTION_REPORT!G:G,PRODUCTION_REPORT!F:F,A91)+SUMIFS(PRODUCTION_REPORT!I:I,PRODUCTION_REPORT!H:H,A91)+SUMIFS(PRODUCTION_REPORT!K:K,PRODUCTION_REPORT!J:J,A91)+SUMIFS(PRODUCTION_REPORT!M:M,PRODUCTION_REPORT!L:L,A91)+SUMIFS(PRODUCTION_REPORT!O:O,PRODUCTION_REPORT!N:N,A91))</f>
        <v/>
      </c>
      <c r="E91" t="str">
        <f t="shared" si="2"/>
        <v/>
      </c>
      <c r="F91" t="str">
        <f>IF(A91="","",_xludf.XLOOKUP(A91,MASTER_RAW_MATERIALS!B:B,MASTER_RAW_MATERIALS!E:E,0))</f>
        <v/>
      </c>
      <c r="G91" t="str">
        <f t="shared" si="3"/>
        <v/>
      </c>
    </row>
    <row r="92" spans="1:7" x14ac:dyDescent="0.2">
      <c r="A92" t="str">
        <f>IF(MASTER_RAW_MATERIALS!B92="","",MASTER_RAW_MATERIALS!B92)</f>
        <v/>
      </c>
      <c r="B92" t="str">
        <f>IF(A92="","",MASTER_RAW_MATERIALS!D92)</f>
        <v/>
      </c>
      <c r="C92" t="str">
        <f>IF(A92="","",SUMIFS(PURCHASES!E:E,PURCHASES!D:D,A92))</f>
        <v/>
      </c>
      <c r="D92" t="str">
        <f>IF(A92="","",SUMIFS(PRODUCTION_REPORT!E:E,PRODUCTION_REPORT!D:D,A92)+SUMIFS(PRODUCTION_REPORT!G:G,PRODUCTION_REPORT!F:F,A92)+SUMIFS(PRODUCTION_REPORT!I:I,PRODUCTION_REPORT!H:H,A92)+SUMIFS(PRODUCTION_REPORT!K:K,PRODUCTION_REPORT!J:J,A92)+SUMIFS(PRODUCTION_REPORT!M:M,PRODUCTION_REPORT!L:L,A92)+SUMIFS(PRODUCTION_REPORT!O:O,PRODUCTION_REPORT!N:N,A92))</f>
        <v/>
      </c>
      <c r="E92" t="str">
        <f t="shared" si="2"/>
        <v/>
      </c>
      <c r="F92" t="str">
        <f>IF(A92="","",_xludf.XLOOKUP(A92,MASTER_RAW_MATERIALS!B:B,MASTER_RAW_MATERIALS!E:E,0))</f>
        <v/>
      </c>
      <c r="G92" t="str">
        <f t="shared" si="3"/>
        <v/>
      </c>
    </row>
    <row r="93" spans="1:7" x14ac:dyDescent="0.2">
      <c r="A93" t="str">
        <f>IF(MASTER_RAW_MATERIALS!B93="","",MASTER_RAW_MATERIALS!B93)</f>
        <v/>
      </c>
      <c r="B93" t="str">
        <f>IF(A93="","",MASTER_RAW_MATERIALS!D93)</f>
        <v/>
      </c>
      <c r="C93" t="str">
        <f>IF(A93="","",SUMIFS(PURCHASES!E:E,PURCHASES!D:D,A93))</f>
        <v/>
      </c>
      <c r="D93" t="str">
        <f>IF(A93="","",SUMIFS(PRODUCTION_REPORT!E:E,PRODUCTION_REPORT!D:D,A93)+SUMIFS(PRODUCTION_REPORT!G:G,PRODUCTION_REPORT!F:F,A93)+SUMIFS(PRODUCTION_REPORT!I:I,PRODUCTION_REPORT!H:H,A93)+SUMIFS(PRODUCTION_REPORT!K:K,PRODUCTION_REPORT!J:J,A93)+SUMIFS(PRODUCTION_REPORT!M:M,PRODUCTION_REPORT!L:L,A93)+SUMIFS(PRODUCTION_REPORT!O:O,PRODUCTION_REPORT!N:N,A93))</f>
        <v/>
      </c>
      <c r="E93" t="str">
        <f t="shared" si="2"/>
        <v/>
      </c>
      <c r="F93" t="str">
        <f>IF(A93="","",_xludf.XLOOKUP(A93,MASTER_RAW_MATERIALS!B:B,MASTER_RAW_MATERIALS!E:E,0))</f>
        <v/>
      </c>
      <c r="G93" t="str">
        <f t="shared" si="3"/>
        <v/>
      </c>
    </row>
    <row r="94" spans="1:7" x14ac:dyDescent="0.2">
      <c r="A94" t="str">
        <f>IF(MASTER_RAW_MATERIALS!B94="","",MASTER_RAW_MATERIALS!B94)</f>
        <v/>
      </c>
      <c r="B94" t="str">
        <f>IF(A94="","",MASTER_RAW_MATERIALS!D94)</f>
        <v/>
      </c>
      <c r="C94" t="str">
        <f>IF(A94="","",SUMIFS(PURCHASES!E:E,PURCHASES!D:D,A94))</f>
        <v/>
      </c>
      <c r="D94" t="str">
        <f>IF(A94="","",SUMIFS(PRODUCTION_REPORT!E:E,PRODUCTION_REPORT!D:D,A94)+SUMIFS(PRODUCTION_REPORT!G:G,PRODUCTION_REPORT!F:F,A94)+SUMIFS(PRODUCTION_REPORT!I:I,PRODUCTION_REPORT!H:H,A94)+SUMIFS(PRODUCTION_REPORT!K:K,PRODUCTION_REPORT!J:J,A94)+SUMIFS(PRODUCTION_REPORT!M:M,PRODUCTION_REPORT!L:L,A94)+SUMIFS(PRODUCTION_REPORT!O:O,PRODUCTION_REPORT!N:N,A94))</f>
        <v/>
      </c>
      <c r="E94" t="str">
        <f t="shared" si="2"/>
        <v/>
      </c>
      <c r="F94" t="str">
        <f>IF(A94="","",_xludf.XLOOKUP(A94,MASTER_RAW_MATERIALS!B:B,MASTER_RAW_MATERIALS!E:E,0))</f>
        <v/>
      </c>
      <c r="G94" t="str">
        <f t="shared" si="3"/>
        <v/>
      </c>
    </row>
    <row r="95" spans="1:7" x14ac:dyDescent="0.2">
      <c r="A95" t="str">
        <f>IF(MASTER_RAW_MATERIALS!B95="","",MASTER_RAW_MATERIALS!B95)</f>
        <v/>
      </c>
      <c r="B95" t="str">
        <f>IF(A95="","",MASTER_RAW_MATERIALS!D95)</f>
        <v/>
      </c>
      <c r="C95" t="str">
        <f>IF(A95="","",SUMIFS(PURCHASES!E:E,PURCHASES!D:D,A95))</f>
        <v/>
      </c>
      <c r="D95" t="str">
        <f>IF(A95="","",SUMIFS(PRODUCTION_REPORT!E:E,PRODUCTION_REPORT!D:D,A95)+SUMIFS(PRODUCTION_REPORT!G:G,PRODUCTION_REPORT!F:F,A95)+SUMIFS(PRODUCTION_REPORT!I:I,PRODUCTION_REPORT!H:H,A95)+SUMIFS(PRODUCTION_REPORT!K:K,PRODUCTION_REPORT!J:J,A95)+SUMIFS(PRODUCTION_REPORT!M:M,PRODUCTION_REPORT!L:L,A95)+SUMIFS(PRODUCTION_REPORT!O:O,PRODUCTION_REPORT!N:N,A95))</f>
        <v/>
      </c>
      <c r="E95" t="str">
        <f t="shared" si="2"/>
        <v/>
      </c>
      <c r="F95" t="str">
        <f>IF(A95="","",_xludf.XLOOKUP(A95,MASTER_RAW_MATERIALS!B:B,MASTER_RAW_MATERIALS!E:E,0))</f>
        <v/>
      </c>
      <c r="G95" t="str">
        <f t="shared" si="3"/>
        <v/>
      </c>
    </row>
    <row r="96" spans="1:7" x14ac:dyDescent="0.2">
      <c r="A96" t="str">
        <f>IF(MASTER_RAW_MATERIALS!B96="","",MASTER_RAW_MATERIALS!B96)</f>
        <v/>
      </c>
      <c r="B96" t="str">
        <f>IF(A96="","",MASTER_RAW_MATERIALS!D96)</f>
        <v/>
      </c>
      <c r="C96" t="str">
        <f>IF(A96="","",SUMIFS(PURCHASES!E:E,PURCHASES!D:D,A96))</f>
        <v/>
      </c>
      <c r="D96" t="str">
        <f>IF(A96="","",SUMIFS(PRODUCTION_REPORT!E:E,PRODUCTION_REPORT!D:D,A96)+SUMIFS(PRODUCTION_REPORT!G:G,PRODUCTION_REPORT!F:F,A96)+SUMIFS(PRODUCTION_REPORT!I:I,PRODUCTION_REPORT!H:H,A96)+SUMIFS(PRODUCTION_REPORT!K:K,PRODUCTION_REPORT!J:J,A96)+SUMIFS(PRODUCTION_REPORT!M:M,PRODUCTION_REPORT!L:L,A96)+SUMIFS(PRODUCTION_REPORT!O:O,PRODUCTION_REPORT!N:N,A96))</f>
        <v/>
      </c>
      <c r="E96" t="str">
        <f t="shared" si="2"/>
        <v/>
      </c>
      <c r="F96" t="str">
        <f>IF(A96="","",_xludf.XLOOKUP(A96,MASTER_RAW_MATERIALS!B:B,MASTER_RAW_MATERIALS!E:E,0))</f>
        <v/>
      </c>
      <c r="G96" t="str">
        <f t="shared" si="3"/>
        <v/>
      </c>
    </row>
    <row r="97" spans="1:7" x14ac:dyDescent="0.2">
      <c r="A97" t="str">
        <f>IF(MASTER_RAW_MATERIALS!B97="","",MASTER_RAW_MATERIALS!B97)</f>
        <v/>
      </c>
      <c r="B97" t="str">
        <f>IF(A97="","",MASTER_RAW_MATERIALS!D97)</f>
        <v/>
      </c>
      <c r="C97" t="str">
        <f>IF(A97="","",SUMIFS(PURCHASES!E:E,PURCHASES!D:D,A97))</f>
        <v/>
      </c>
      <c r="D97" t="str">
        <f>IF(A97="","",SUMIFS(PRODUCTION_REPORT!E:E,PRODUCTION_REPORT!D:D,A97)+SUMIFS(PRODUCTION_REPORT!G:G,PRODUCTION_REPORT!F:F,A97)+SUMIFS(PRODUCTION_REPORT!I:I,PRODUCTION_REPORT!H:H,A97)+SUMIFS(PRODUCTION_REPORT!K:K,PRODUCTION_REPORT!J:J,A97)+SUMIFS(PRODUCTION_REPORT!M:M,PRODUCTION_REPORT!L:L,A97)+SUMIFS(PRODUCTION_REPORT!O:O,PRODUCTION_REPORT!N:N,A97))</f>
        <v/>
      </c>
      <c r="E97" t="str">
        <f t="shared" si="2"/>
        <v/>
      </c>
      <c r="F97" t="str">
        <f>IF(A97="","",_xludf.XLOOKUP(A97,MASTER_RAW_MATERIALS!B:B,MASTER_RAW_MATERIALS!E:E,0))</f>
        <v/>
      </c>
      <c r="G97" t="str">
        <f t="shared" si="3"/>
        <v/>
      </c>
    </row>
    <row r="98" spans="1:7" x14ac:dyDescent="0.2">
      <c r="A98" t="str">
        <f>IF(MASTER_RAW_MATERIALS!B98="","",MASTER_RAW_MATERIALS!B98)</f>
        <v/>
      </c>
      <c r="B98" t="str">
        <f>IF(A98="","",MASTER_RAW_MATERIALS!D98)</f>
        <v/>
      </c>
      <c r="C98" t="str">
        <f>IF(A98="","",SUMIFS(PURCHASES!E:E,PURCHASES!D:D,A98))</f>
        <v/>
      </c>
      <c r="D98" t="str">
        <f>IF(A98="","",SUMIFS(PRODUCTION_REPORT!E:E,PRODUCTION_REPORT!D:D,A98)+SUMIFS(PRODUCTION_REPORT!G:G,PRODUCTION_REPORT!F:F,A98)+SUMIFS(PRODUCTION_REPORT!I:I,PRODUCTION_REPORT!H:H,A98)+SUMIFS(PRODUCTION_REPORT!K:K,PRODUCTION_REPORT!J:J,A98)+SUMIFS(PRODUCTION_REPORT!M:M,PRODUCTION_REPORT!L:L,A98)+SUMIFS(PRODUCTION_REPORT!O:O,PRODUCTION_REPORT!N:N,A98))</f>
        <v/>
      </c>
      <c r="E98" t="str">
        <f t="shared" si="2"/>
        <v/>
      </c>
      <c r="F98" t="str">
        <f>IF(A98="","",_xludf.XLOOKUP(A98,MASTER_RAW_MATERIALS!B:B,MASTER_RAW_MATERIALS!E:E,0))</f>
        <v/>
      </c>
      <c r="G98" t="str">
        <f t="shared" si="3"/>
        <v/>
      </c>
    </row>
    <row r="99" spans="1:7" x14ac:dyDescent="0.2">
      <c r="A99" t="str">
        <f>IF(MASTER_RAW_MATERIALS!B99="","",MASTER_RAW_MATERIALS!B99)</f>
        <v/>
      </c>
      <c r="B99" t="str">
        <f>IF(A99="","",MASTER_RAW_MATERIALS!D99)</f>
        <v/>
      </c>
      <c r="C99" t="str">
        <f>IF(A99="","",SUMIFS(PURCHASES!E:E,PURCHASES!D:D,A99))</f>
        <v/>
      </c>
      <c r="D99" t="str">
        <f>IF(A99="","",SUMIFS(PRODUCTION_REPORT!E:E,PRODUCTION_REPORT!D:D,A99)+SUMIFS(PRODUCTION_REPORT!G:G,PRODUCTION_REPORT!F:F,A99)+SUMIFS(PRODUCTION_REPORT!I:I,PRODUCTION_REPORT!H:H,A99)+SUMIFS(PRODUCTION_REPORT!K:K,PRODUCTION_REPORT!J:J,A99)+SUMIFS(PRODUCTION_REPORT!M:M,PRODUCTION_REPORT!L:L,A99)+SUMIFS(PRODUCTION_REPORT!O:O,PRODUCTION_REPORT!N:N,A99))</f>
        <v/>
      </c>
      <c r="E99" t="str">
        <f t="shared" si="2"/>
        <v/>
      </c>
      <c r="F99" t="str">
        <f>IF(A99="","",_xludf.XLOOKUP(A99,MASTER_RAW_MATERIALS!B:B,MASTER_RAW_MATERIALS!E:E,0))</f>
        <v/>
      </c>
      <c r="G99" t="str">
        <f t="shared" si="3"/>
        <v/>
      </c>
    </row>
    <row r="100" spans="1:7" x14ac:dyDescent="0.2">
      <c r="A100" t="str">
        <f>IF(MASTER_RAW_MATERIALS!B100="","",MASTER_RAW_MATERIALS!B100)</f>
        <v/>
      </c>
      <c r="B100" t="str">
        <f>IF(A100="","",MASTER_RAW_MATERIALS!D100)</f>
        <v/>
      </c>
      <c r="C100" t="str">
        <f>IF(A100="","",SUMIFS(PURCHASES!E:E,PURCHASES!D:D,A100))</f>
        <v/>
      </c>
      <c r="D100" t="str">
        <f>IF(A100="","",SUMIFS(PRODUCTION_REPORT!E:E,PRODUCTION_REPORT!D:D,A100)+SUMIFS(PRODUCTION_REPORT!G:G,PRODUCTION_REPORT!F:F,A100)+SUMIFS(PRODUCTION_REPORT!I:I,PRODUCTION_REPORT!H:H,A100)+SUMIFS(PRODUCTION_REPORT!K:K,PRODUCTION_REPORT!J:J,A100)+SUMIFS(PRODUCTION_REPORT!M:M,PRODUCTION_REPORT!L:L,A100)+SUMIFS(PRODUCTION_REPORT!O:O,PRODUCTION_REPORT!N:N,A100))</f>
        <v/>
      </c>
      <c r="E100" t="str">
        <f t="shared" si="2"/>
        <v/>
      </c>
      <c r="F100" t="str">
        <f>IF(A100="","",_xludf.XLOOKUP(A100,MASTER_RAW_MATERIALS!B:B,MASTER_RAW_MATERIALS!E:E,0))</f>
        <v/>
      </c>
      <c r="G100" t="str">
        <f t="shared" si="3"/>
        <v/>
      </c>
    </row>
    <row r="101" spans="1:7" x14ac:dyDescent="0.2">
      <c r="A101" t="str">
        <f>IF(MASTER_RAW_MATERIALS!B101="","",MASTER_RAW_MATERIALS!B101)</f>
        <v/>
      </c>
      <c r="B101" t="str">
        <f>IF(A101="","",MASTER_RAW_MATERIALS!D101)</f>
        <v/>
      </c>
      <c r="C101" t="str">
        <f>IF(A101="","",SUMIFS(PURCHASES!E:E,PURCHASES!D:D,A101))</f>
        <v/>
      </c>
      <c r="D101" t="str">
        <f>IF(A101="","",SUMIFS(PRODUCTION_REPORT!E:E,PRODUCTION_REPORT!D:D,A101)+SUMIFS(PRODUCTION_REPORT!G:G,PRODUCTION_REPORT!F:F,A101)+SUMIFS(PRODUCTION_REPORT!I:I,PRODUCTION_REPORT!H:H,A101)+SUMIFS(PRODUCTION_REPORT!K:K,PRODUCTION_REPORT!J:J,A101)+SUMIFS(PRODUCTION_REPORT!M:M,PRODUCTION_REPORT!L:L,A101)+SUMIFS(PRODUCTION_REPORT!O:O,PRODUCTION_REPORT!N:N,A101))</f>
        <v/>
      </c>
      <c r="E101" t="str">
        <f t="shared" si="2"/>
        <v/>
      </c>
      <c r="F101" t="str">
        <f>IF(A101="","",_xludf.XLOOKUP(A101,MASTER_RAW_MATERIALS!B:B,MASTER_RAW_MATERIALS!E:E,0))</f>
        <v/>
      </c>
      <c r="G101" t="str">
        <f t="shared" si="3"/>
        <v/>
      </c>
    </row>
    <row r="102" spans="1:7" x14ac:dyDescent="0.2">
      <c r="A102" t="str">
        <f>IF(MASTER_RAW_MATERIALS!B102="","",MASTER_RAW_MATERIALS!B102)</f>
        <v/>
      </c>
      <c r="B102" t="str">
        <f>IF(A102="","",MASTER_RAW_MATERIALS!D102)</f>
        <v/>
      </c>
      <c r="C102" t="str">
        <f>IF(A102="","",SUMIFS(PURCHASES!E:E,PURCHASES!D:D,A102))</f>
        <v/>
      </c>
      <c r="D102" t="str">
        <f>IF(A102="","",SUMIFS(PRODUCTION_REPORT!E:E,PRODUCTION_REPORT!D:D,A102)+SUMIFS(PRODUCTION_REPORT!G:G,PRODUCTION_REPORT!F:F,A102)+SUMIFS(PRODUCTION_REPORT!I:I,PRODUCTION_REPORT!H:H,A102)+SUMIFS(PRODUCTION_REPORT!K:K,PRODUCTION_REPORT!J:J,A102)+SUMIFS(PRODUCTION_REPORT!M:M,PRODUCTION_REPORT!L:L,A102)+SUMIFS(PRODUCTION_REPORT!O:O,PRODUCTION_REPORT!N:N,A102))</f>
        <v/>
      </c>
      <c r="E102" t="str">
        <f t="shared" si="2"/>
        <v/>
      </c>
      <c r="F102" t="str">
        <f>IF(A102="","",_xludf.XLOOKUP(A102,MASTER_RAW_MATERIALS!B:B,MASTER_RAW_MATERIALS!E:E,0))</f>
        <v/>
      </c>
      <c r="G102" t="str">
        <f t="shared" si="3"/>
        <v/>
      </c>
    </row>
    <row r="103" spans="1:7" x14ac:dyDescent="0.2">
      <c r="A103" t="str">
        <f>IF(MASTER_RAW_MATERIALS!B103="","",MASTER_RAW_MATERIALS!B103)</f>
        <v/>
      </c>
      <c r="B103" t="str">
        <f>IF(A103="","",MASTER_RAW_MATERIALS!D103)</f>
        <v/>
      </c>
      <c r="C103" t="str">
        <f>IF(A103="","",SUMIFS(PURCHASES!E:E,PURCHASES!D:D,A103))</f>
        <v/>
      </c>
      <c r="D103" t="str">
        <f>IF(A103="","",SUMIFS(PRODUCTION_REPORT!E:E,PRODUCTION_REPORT!D:D,A103)+SUMIFS(PRODUCTION_REPORT!G:G,PRODUCTION_REPORT!F:F,A103)+SUMIFS(PRODUCTION_REPORT!I:I,PRODUCTION_REPORT!H:H,A103)+SUMIFS(PRODUCTION_REPORT!K:K,PRODUCTION_REPORT!J:J,A103)+SUMIFS(PRODUCTION_REPORT!M:M,PRODUCTION_REPORT!L:L,A103)+SUMIFS(PRODUCTION_REPORT!O:O,PRODUCTION_REPORT!N:N,A103))</f>
        <v/>
      </c>
      <c r="E103" t="str">
        <f t="shared" si="2"/>
        <v/>
      </c>
      <c r="F103" t="str">
        <f>IF(A103="","",_xludf.XLOOKUP(A103,MASTER_RAW_MATERIALS!B:B,MASTER_RAW_MATERIALS!E:E,0))</f>
        <v/>
      </c>
      <c r="G103" t="str">
        <f t="shared" si="3"/>
        <v/>
      </c>
    </row>
    <row r="104" spans="1:7" x14ac:dyDescent="0.2">
      <c r="A104" t="str">
        <f>IF(MASTER_RAW_MATERIALS!B104="","",MASTER_RAW_MATERIALS!B104)</f>
        <v/>
      </c>
      <c r="B104" t="str">
        <f>IF(A104="","",MASTER_RAW_MATERIALS!D104)</f>
        <v/>
      </c>
      <c r="C104" t="str">
        <f>IF(A104="","",SUMIFS(PURCHASES!E:E,PURCHASES!D:D,A104))</f>
        <v/>
      </c>
      <c r="D104" t="str">
        <f>IF(A104="","",SUMIFS(PRODUCTION_REPORT!E:E,PRODUCTION_REPORT!D:D,A104)+SUMIFS(PRODUCTION_REPORT!G:G,PRODUCTION_REPORT!F:F,A104)+SUMIFS(PRODUCTION_REPORT!I:I,PRODUCTION_REPORT!H:H,A104)+SUMIFS(PRODUCTION_REPORT!K:K,PRODUCTION_REPORT!J:J,A104)+SUMIFS(PRODUCTION_REPORT!M:M,PRODUCTION_REPORT!L:L,A104)+SUMIFS(PRODUCTION_REPORT!O:O,PRODUCTION_REPORT!N:N,A104))</f>
        <v/>
      </c>
      <c r="E104" t="str">
        <f t="shared" si="2"/>
        <v/>
      </c>
      <c r="F104" t="str">
        <f>IF(A104="","",_xludf.XLOOKUP(A104,MASTER_RAW_MATERIALS!B:B,MASTER_RAW_MATERIALS!E:E,0))</f>
        <v/>
      </c>
      <c r="G104" t="str">
        <f t="shared" si="3"/>
        <v/>
      </c>
    </row>
    <row r="105" spans="1:7" x14ac:dyDescent="0.2">
      <c r="A105" t="str">
        <f>IF(MASTER_RAW_MATERIALS!B105="","",MASTER_RAW_MATERIALS!B105)</f>
        <v/>
      </c>
      <c r="B105" t="str">
        <f>IF(A105="","",MASTER_RAW_MATERIALS!D105)</f>
        <v/>
      </c>
      <c r="C105" t="str">
        <f>IF(A105="","",SUMIFS(PURCHASES!E:E,PURCHASES!D:D,A105))</f>
        <v/>
      </c>
      <c r="D105" t="str">
        <f>IF(A105="","",SUMIFS(PRODUCTION_REPORT!E:E,PRODUCTION_REPORT!D:D,A105)+SUMIFS(PRODUCTION_REPORT!G:G,PRODUCTION_REPORT!F:F,A105)+SUMIFS(PRODUCTION_REPORT!I:I,PRODUCTION_REPORT!H:H,A105)+SUMIFS(PRODUCTION_REPORT!K:K,PRODUCTION_REPORT!J:J,A105)+SUMIFS(PRODUCTION_REPORT!M:M,PRODUCTION_REPORT!L:L,A105)+SUMIFS(PRODUCTION_REPORT!O:O,PRODUCTION_REPORT!N:N,A105))</f>
        <v/>
      </c>
      <c r="E105" t="str">
        <f t="shared" si="2"/>
        <v/>
      </c>
      <c r="F105" t="str">
        <f>IF(A105="","",_xludf.XLOOKUP(A105,MASTER_RAW_MATERIALS!B:B,MASTER_RAW_MATERIALS!E:E,0))</f>
        <v/>
      </c>
      <c r="G105" t="str">
        <f t="shared" si="3"/>
        <v/>
      </c>
    </row>
    <row r="106" spans="1:7" x14ac:dyDescent="0.2">
      <c r="A106" t="str">
        <f>IF(MASTER_RAW_MATERIALS!B106="","",MASTER_RAW_MATERIALS!B106)</f>
        <v/>
      </c>
      <c r="B106" t="str">
        <f>IF(A106="","",MASTER_RAW_MATERIALS!D106)</f>
        <v/>
      </c>
      <c r="C106" t="str">
        <f>IF(A106="","",SUMIFS(PURCHASES!E:E,PURCHASES!D:D,A106))</f>
        <v/>
      </c>
      <c r="D106" t="str">
        <f>IF(A106="","",SUMIFS(PRODUCTION_REPORT!E:E,PRODUCTION_REPORT!D:D,A106)+SUMIFS(PRODUCTION_REPORT!G:G,PRODUCTION_REPORT!F:F,A106)+SUMIFS(PRODUCTION_REPORT!I:I,PRODUCTION_REPORT!H:H,A106)+SUMIFS(PRODUCTION_REPORT!K:K,PRODUCTION_REPORT!J:J,A106)+SUMIFS(PRODUCTION_REPORT!M:M,PRODUCTION_REPORT!L:L,A106)+SUMIFS(PRODUCTION_REPORT!O:O,PRODUCTION_REPORT!N:N,A106))</f>
        <v/>
      </c>
      <c r="E106" t="str">
        <f t="shared" si="2"/>
        <v/>
      </c>
      <c r="F106" t="str">
        <f>IF(A106="","",_xludf.XLOOKUP(A106,MASTER_RAW_MATERIALS!B:B,MASTER_RAW_MATERIALS!E:E,0))</f>
        <v/>
      </c>
      <c r="G106" t="str">
        <f t="shared" si="3"/>
        <v/>
      </c>
    </row>
    <row r="107" spans="1:7" x14ac:dyDescent="0.2">
      <c r="A107" t="str">
        <f>IF(MASTER_RAW_MATERIALS!B107="","",MASTER_RAW_MATERIALS!B107)</f>
        <v/>
      </c>
      <c r="B107" t="str">
        <f>IF(A107="","",MASTER_RAW_MATERIALS!D107)</f>
        <v/>
      </c>
      <c r="C107" t="str">
        <f>IF(A107="","",SUMIFS(PURCHASES!E:E,PURCHASES!D:D,A107))</f>
        <v/>
      </c>
      <c r="D107" t="str">
        <f>IF(A107="","",SUMIFS(PRODUCTION_REPORT!E:E,PRODUCTION_REPORT!D:D,A107)+SUMIFS(PRODUCTION_REPORT!G:G,PRODUCTION_REPORT!F:F,A107)+SUMIFS(PRODUCTION_REPORT!I:I,PRODUCTION_REPORT!H:H,A107)+SUMIFS(PRODUCTION_REPORT!K:K,PRODUCTION_REPORT!J:J,A107)+SUMIFS(PRODUCTION_REPORT!M:M,PRODUCTION_REPORT!L:L,A107)+SUMIFS(PRODUCTION_REPORT!O:O,PRODUCTION_REPORT!N:N,A107))</f>
        <v/>
      </c>
      <c r="E107" t="str">
        <f t="shared" si="2"/>
        <v/>
      </c>
      <c r="F107" t="str">
        <f>IF(A107="","",_xludf.XLOOKUP(A107,MASTER_RAW_MATERIALS!B:B,MASTER_RAW_MATERIALS!E:E,0))</f>
        <v/>
      </c>
      <c r="G107" t="str">
        <f t="shared" si="3"/>
        <v/>
      </c>
    </row>
    <row r="108" spans="1:7" x14ac:dyDescent="0.2">
      <c r="A108" t="str">
        <f>IF(MASTER_RAW_MATERIALS!B108="","",MASTER_RAW_MATERIALS!B108)</f>
        <v/>
      </c>
      <c r="B108" t="str">
        <f>IF(A108="","",MASTER_RAW_MATERIALS!D108)</f>
        <v/>
      </c>
      <c r="C108" t="str">
        <f>IF(A108="","",SUMIFS(PURCHASES!E:E,PURCHASES!D:D,A108))</f>
        <v/>
      </c>
      <c r="D108" t="str">
        <f>IF(A108="","",SUMIFS(PRODUCTION_REPORT!E:E,PRODUCTION_REPORT!D:D,A108)+SUMIFS(PRODUCTION_REPORT!G:G,PRODUCTION_REPORT!F:F,A108)+SUMIFS(PRODUCTION_REPORT!I:I,PRODUCTION_REPORT!H:H,A108)+SUMIFS(PRODUCTION_REPORT!K:K,PRODUCTION_REPORT!J:J,A108)+SUMIFS(PRODUCTION_REPORT!M:M,PRODUCTION_REPORT!L:L,A108)+SUMIFS(PRODUCTION_REPORT!O:O,PRODUCTION_REPORT!N:N,A108))</f>
        <v/>
      </c>
      <c r="E108" t="str">
        <f t="shared" si="2"/>
        <v/>
      </c>
      <c r="F108" t="str">
        <f>IF(A108="","",_xludf.XLOOKUP(A108,MASTER_RAW_MATERIALS!B:B,MASTER_RAW_MATERIALS!E:E,0))</f>
        <v/>
      </c>
      <c r="G108" t="str">
        <f t="shared" si="3"/>
        <v/>
      </c>
    </row>
    <row r="109" spans="1:7" x14ac:dyDescent="0.2">
      <c r="A109" t="str">
        <f>IF(MASTER_RAW_MATERIALS!B109="","",MASTER_RAW_MATERIALS!B109)</f>
        <v/>
      </c>
      <c r="B109" t="str">
        <f>IF(A109="","",MASTER_RAW_MATERIALS!D109)</f>
        <v/>
      </c>
      <c r="C109" t="str">
        <f>IF(A109="","",SUMIFS(PURCHASES!E:E,PURCHASES!D:D,A109))</f>
        <v/>
      </c>
      <c r="D109" t="str">
        <f>IF(A109="","",SUMIFS(PRODUCTION_REPORT!E:E,PRODUCTION_REPORT!D:D,A109)+SUMIFS(PRODUCTION_REPORT!G:G,PRODUCTION_REPORT!F:F,A109)+SUMIFS(PRODUCTION_REPORT!I:I,PRODUCTION_REPORT!H:H,A109)+SUMIFS(PRODUCTION_REPORT!K:K,PRODUCTION_REPORT!J:J,A109)+SUMIFS(PRODUCTION_REPORT!M:M,PRODUCTION_REPORT!L:L,A109)+SUMIFS(PRODUCTION_REPORT!O:O,PRODUCTION_REPORT!N:N,A109))</f>
        <v/>
      </c>
      <c r="E109" t="str">
        <f t="shared" si="2"/>
        <v/>
      </c>
      <c r="F109" t="str">
        <f>IF(A109="","",_xludf.XLOOKUP(A109,MASTER_RAW_MATERIALS!B:B,MASTER_RAW_MATERIALS!E:E,0))</f>
        <v/>
      </c>
      <c r="G109" t="str">
        <f t="shared" si="3"/>
        <v/>
      </c>
    </row>
    <row r="110" spans="1:7" x14ac:dyDescent="0.2">
      <c r="A110" t="str">
        <f>IF(MASTER_RAW_MATERIALS!B110="","",MASTER_RAW_MATERIALS!B110)</f>
        <v/>
      </c>
      <c r="B110" t="str">
        <f>IF(A110="","",MASTER_RAW_MATERIALS!D110)</f>
        <v/>
      </c>
      <c r="C110" t="str">
        <f>IF(A110="","",SUMIFS(PURCHASES!E:E,PURCHASES!D:D,A110))</f>
        <v/>
      </c>
      <c r="D110" t="str">
        <f>IF(A110="","",SUMIFS(PRODUCTION_REPORT!E:E,PRODUCTION_REPORT!D:D,A110)+SUMIFS(PRODUCTION_REPORT!G:G,PRODUCTION_REPORT!F:F,A110)+SUMIFS(PRODUCTION_REPORT!I:I,PRODUCTION_REPORT!H:H,A110)+SUMIFS(PRODUCTION_REPORT!K:K,PRODUCTION_REPORT!J:J,A110)+SUMIFS(PRODUCTION_REPORT!M:M,PRODUCTION_REPORT!L:L,A110)+SUMIFS(PRODUCTION_REPORT!O:O,PRODUCTION_REPORT!N:N,A110))</f>
        <v/>
      </c>
      <c r="E110" t="str">
        <f t="shared" si="2"/>
        <v/>
      </c>
      <c r="F110" t="str">
        <f>IF(A110="","",_xludf.XLOOKUP(A110,MASTER_RAW_MATERIALS!B:B,MASTER_RAW_MATERIALS!E:E,0))</f>
        <v/>
      </c>
      <c r="G110" t="str">
        <f t="shared" si="3"/>
        <v/>
      </c>
    </row>
    <row r="111" spans="1:7" x14ac:dyDescent="0.2">
      <c r="A111" t="str">
        <f>IF(MASTER_RAW_MATERIALS!B111="","",MASTER_RAW_MATERIALS!B111)</f>
        <v/>
      </c>
      <c r="B111" t="str">
        <f>IF(A111="","",MASTER_RAW_MATERIALS!D111)</f>
        <v/>
      </c>
      <c r="C111" t="str">
        <f>IF(A111="","",SUMIFS(PURCHASES!E:E,PURCHASES!D:D,A111))</f>
        <v/>
      </c>
      <c r="D111" t="str">
        <f>IF(A111="","",SUMIFS(PRODUCTION_REPORT!E:E,PRODUCTION_REPORT!D:D,A111)+SUMIFS(PRODUCTION_REPORT!G:G,PRODUCTION_REPORT!F:F,A111)+SUMIFS(PRODUCTION_REPORT!I:I,PRODUCTION_REPORT!H:H,A111)+SUMIFS(PRODUCTION_REPORT!K:K,PRODUCTION_REPORT!J:J,A111)+SUMIFS(PRODUCTION_REPORT!M:M,PRODUCTION_REPORT!L:L,A111)+SUMIFS(PRODUCTION_REPORT!O:O,PRODUCTION_REPORT!N:N,A111))</f>
        <v/>
      </c>
      <c r="E111" t="str">
        <f t="shared" si="2"/>
        <v/>
      </c>
      <c r="F111" t="str">
        <f>IF(A111="","",_xludf.XLOOKUP(A111,MASTER_RAW_MATERIALS!B:B,MASTER_RAW_MATERIALS!E:E,0))</f>
        <v/>
      </c>
      <c r="G111" t="str">
        <f t="shared" si="3"/>
        <v/>
      </c>
    </row>
    <row r="112" spans="1:7" x14ac:dyDescent="0.2">
      <c r="A112" t="str">
        <f>IF(MASTER_RAW_MATERIALS!B112="","",MASTER_RAW_MATERIALS!B112)</f>
        <v/>
      </c>
      <c r="B112" t="str">
        <f>IF(A112="","",MASTER_RAW_MATERIALS!D112)</f>
        <v/>
      </c>
      <c r="C112" t="str">
        <f>IF(A112="","",SUMIFS(PURCHASES!E:E,PURCHASES!D:D,A112))</f>
        <v/>
      </c>
      <c r="D112" t="str">
        <f>IF(A112="","",SUMIFS(PRODUCTION_REPORT!E:E,PRODUCTION_REPORT!D:D,A112)+SUMIFS(PRODUCTION_REPORT!G:G,PRODUCTION_REPORT!F:F,A112)+SUMIFS(PRODUCTION_REPORT!I:I,PRODUCTION_REPORT!H:H,A112)+SUMIFS(PRODUCTION_REPORT!K:K,PRODUCTION_REPORT!J:J,A112)+SUMIFS(PRODUCTION_REPORT!M:M,PRODUCTION_REPORT!L:L,A112)+SUMIFS(PRODUCTION_REPORT!O:O,PRODUCTION_REPORT!N:N,A112))</f>
        <v/>
      </c>
      <c r="E112" t="str">
        <f t="shared" si="2"/>
        <v/>
      </c>
      <c r="F112" t="str">
        <f>IF(A112="","",_xludf.XLOOKUP(A112,MASTER_RAW_MATERIALS!B:B,MASTER_RAW_MATERIALS!E:E,0))</f>
        <v/>
      </c>
      <c r="G112" t="str">
        <f t="shared" si="3"/>
        <v/>
      </c>
    </row>
    <row r="113" spans="1:7" x14ac:dyDescent="0.2">
      <c r="A113" t="str">
        <f>IF(MASTER_RAW_MATERIALS!B113="","",MASTER_RAW_MATERIALS!B113)</f>
        <v/>
      </c>
      <c r="B113" t="str">
        <f>IF(A113="","",MASTER_RAW_MATERIALS!D113)</f>
        <v/>
      </c>
      <c r="C113" t="str">
        <f>IF(A113="","",SUMIFS(PURCHASES!E:E,PURCHASES!D:D,A113))</f>
        <v/>
      </c>
      <c r="D113" t="str">
        <f>IF(A113="","",SUMIFS(PRODUCTION_REPORT!E:E,PRODUCTION_REPORT!D:D,A113)+SUMIFS(PRODUCTION_REPORT!G:G,PRODUCTION_REPORT!F:F,A113)+SUMIFS(PRODUCTION_REPORT!I:I,PRODUCTION_REPORT!H:H,A113)+SUMIFS(PRODUCTION_REPORT!K:K,PRODUCTION_REPORT!J:J,A113)+SUMIFS(PRODUCTION_REPORT!M:M,PRODUCTION_REPORT!L:L,A113)+SUMIFS(PRODUCTION_REPORT!O:O,PRODUCTION_REPORT!N:N,A113))</f>
        <v/>
      </c>
      <c r="E113" t="str">
        <f t="shared" si="2"/>
        <v/>
      </c>
      <c r="F113" t="str">
        <f>IF(A113="","",_xludf.XLOOKUP(A113,MASTER_RAW_MATERIALS!B:B,MASTER_RAW_MATERIALS!E:E,0))</f>
        <v/>
      </c>
      <c r="G113" t="str">
        <f t="shared" si="3"/>
        <v/>
      </c>
    </row>
    <row r="114" spans="1:7" x14ac:dyDescent="0.2">
      <c r="A114" t="str">
        <f>IF(MASTER_RAW_MATERIALS!B114="","",MASTER_RAW_MATERIALS!B114)</f>
        <v/>
      </c>
      <c r="B114" t="str">
        <f>IF(A114="","",MASTER_RAW_MATERIALS!D114)</f>
        <v/>
      </c>
      <c r="C114" t="str">
        <f>IF(A114="","",SUMIFS(PURCHASES!E:E,PURCHASES!D:D,A114))</f>
        <v/>
      </c>
      <c r="D114" t="str">
        <f>IF(A114="","",SUMIFS(PRODUCTION_REPORT!E:E,PRODUCTION_REPORT!D:D,A114)+SUMIFS(PRODUCTION_REPORT!G:G,PRODUCTION_REPORT!F:F,A114)+SUMIFS(PRODUCTION_REPORT!I:I,PRODUCTION_REPORT!H:H,A114)+SUMIFS(PRODUCTION_REPORT!K:K,PRODUCTION_REPORT!J:J,A114)+SUMIFS(PRODUCTION_REPORT!M:M,PRODUCTION_REPORT!L:L,A114)+SUMIFS(PRODUCTION_REPORT!O:O,PRODUCTION_REPORT!N:N,A114))</f>
        <v/>
      </c>
      <c r="E114" t="str">
        <f t="shared" si="2"/>
        <v/>
      </c>
      <c r="F114" t="str">
        <f>IF(A114="","",_xludf.XLOOKUP(A114,MASTER_RAW_MATERIALS!B:B,MASTER_RAW_MATERIALS!E:E,0))</f>
        <v/>
      </c>
      <c r="G114" t="str">
        <f t="shared" si="3"/>
        <v/>
      </c>
    </row>
    <row r="115" spans="1:7" x14ac:dyDescent="0.2">
      <c r="A115" t="str">
        <f>IF(MASTER_RAW_MATERIALS!B115="","",MASTER_RAW_MATERIALS!B115)</f>
        <v/>
      </c>
      <c r="B115" t="str">
        <f>IF(A115="","",MASTER_RAW_MATERIALS!D115)</f>
        <v/>
      </c>
      <c r="C115" t="str">
        <f>IF(A115="","",SUMIFS(PURCHASES!E:E,PURCHASES!D:D,A115))</f>
        <v/>
      </c>
      <c r="D115" t="str">
        <f>IF(A115="","",SUMIFS(PRODUCTION_REPORT!E:E,PRODUCTION_REPORT!D:D,A115)+SUMIFS(PRODUCTION_REPORT!G:G,PRODUCTION_REPORT!F:F,A115)+SUMIFS(PRODUCTION_REPORT!I:I,PRODUCTION_REPORT!H:H,A115)+SUMIFS(PRODUCTION_REPORT!K:K,PRODUCTION_REPORT!J:J,A115)+SUMIFS(PRODUCTION_REPORT!M:M,PRODUCTION_REPORT!L:L,A115)+SUMIFS(PRODUCTION_REPORT!O:O,PRODUCTION_REPORT!N:N,A115))</f>
        <v/>
      </c>
      <c r="E115" t="str">
        <f t="shared" si="2"/>
        <v/>
      </c>
      <c r="F115" t="str">
        <f>IF(A115="","",_xludf.XLOOKUP(A115,MASTER_RAW_MATERIALS!B:B,MASTER_RAW_MATERIALS!E:E,0))</f>
        <v/>
      </c>
      <c r="G115" t="str">
        <f t="shared" si="3"/>
        <v/>
      </c>
    </row>
    <row r="116" spans="1:7" x14ac:dyDescent="0.2">
      <c r="A116" t="str">
        <f>IF(MASTER_RAW_MATERIALS!B116="","",MASTER_RAW_MATERIALS!B116)</f>
        <v/>
      </c>
      <c r="B116" t="str">
        <f>IF(A116="","",MASTER_RAW_MATERIALS!D116)</f>
        <v/>
      </c>
      <c r="C116" t="str">
        <f>IF(A116="","",SUMIFS(PURCHASES!E:E,PURCHASES!D:D,A116))</f>
        <v/>
      </c>
      <c r="D116" t="str">
        <f>IF(A116="","",SUMIFS(PRODUCTION_REPORT!E:E,PRODUCTION_REPORT!D:D,A116)+SUMIFS(PRODUCTION_REPORT!G:G,PRODUCTION_REPORT!F:F,A116)+SUMIFS(PRODUCTION_REPORT!I:I,PRODUCTION_REPORT!H:H,A116)+SUMIFS(PRODUCTION_REPORT!K:K,PRODUCTION_REPORT!J:J,A116)+SUMIFS(PRODUCTION_REPORT!M:M,PRODUCTION_REPORT!L:L,A116)+SUMIFS(PRODUCTION_REPORT!O:O,PRODUCTION_REPORT!N:N,A116))</f>
        <v/>
      </c>
      <c r="E116" t="str">
        <f t="shared" si="2"/>
        <v/>
      </c>
      <c r="F116" t="str">
        <f>IF(A116="","",_xludf.XLOOKUP(A116,MASTER_RAW_MATERIALS!B:B,MASTER_RAW_MATERIALS!E:E,0))</f>
        <v/>
      </c>
      <c r="G116" t="str">
        <f t="shared" si="3"/>
        <v/>
      </c>
    </row>
    <row r="117" spans="1:7" x14ac:dyDescent="0.2">
      <c r="A117" t="str">
        <f>IF(MASTER_RAW_MATERIALS!B117="","",MASTER_RAW_MATERIALS!B117)</f>
        <v/>
      </c>
      <c r="B117" t="str">
        <f>IF(A117="","",MASTER_RAW_MATERIALS!D117)</f>
        <v/>
      </c>
      <c r="C117" t="str">
        <f>IF(A117="","",SUMIFS(PURCHASES!E:E,PURCHASES!D:D,A117))</f>
        <v/>
      </c>
      <c r="D117" t="str">
        <f>IF(A117="","",SUMIFS(PRODUCTION_REPORT!E:E,PRODUCTION_REPORT!D:D,A117)+SUMIFS(PRODUCTION_REPORT!G:G,PRODUCTION_REPORT!F:F,A117)+SUMIFS(PRODUCTION_REPORT!I:I,PRODUCTION_REPORT!H:H,A117)+SUMIFS(PRODUCTION_REPORT!K:K,PRODUCTION_REPORT!J:J,A117)+SUMIFS(PRODUCTION_REPORT!M:M,PRODUCTION_REPORT!L:L,A117)+SUMIFS(PRODUCTION_REPORT!O:O,PRODUCTION_REPORT!N:N,A117))</f>
        <v/>
      </c>
      <c r="E117" t="str">
        <f t="shared" si="2"/>
        <v/>
      </c>
      <c r="F117" t="str">
        <f>IF(A117="","",_xludf.XLOOKUP(A117,MASTER_RAW_MATERIALS!B:B,MASTER_RAW_MATERIALS!E:E,0))</f>
        <v/>
      </c>
      <c r="G117" t="str">
        <f t="shared" si="3"/>
        <v/>
      </c>
    </row>
    <row r="118" spans="1:7" x14ac:dyDescent="0.2">
      <c r="A118" t="str">
        <f>IF(MASTER_RAW_MATERIALS!B118="","",MASTER_RAW_MATERIALS!B118)</f>
        <v/>
      </c>
      <c r="B118" t="str">
        <f>IF(A118="","",MASTER_RAW_MATERIALS!D118)</f>
        <v/>
      </c>
      <c r="C118" t="str">
        <f>IF(A118="","",SUMIFS(PURCHASES!E:E,PURCHASES!D:D,A118))</f>
        <v/>
      </c>
      <c r="D118" t="str">
        <f>IF(A118="","",SUMIFS(PRODUCTION_REPORT!E:E,PRODUCTION_REPORT!D:D,A118)+SUMIFS(PRODUCTION_REPORT!G:G,PRODUCTION_REPORT!F:F,A118)+SUMIFS(PRODUCTION_REPORT!I:I,PRODUCTION_REPORT!H:H,A118)+SUMIFS(PRODUCTION_REPORT!K:K,PRODUCTION_REPORT!J:J,A118)+SUMIFS(PRODUCTION_REPORT!M:M,PRODUCTION_REPORT!L:L,A118)+SUMIFS(PRODUCTION_REPORT!O:O,PRODUCTION_REPORT!N:N,A118))</f>
        <v/>
      </c>
      <c r="E118" t="str">
        <f t="shared" si="2"/>
        <v/>
      </c>
      <c r="F118" t="str">
        <f>IF(A118="","",_xludf.XLOOKUP(A118,MASTER_RAW_MATERIALS!B:B,MASTER_RAW_MATERIALS!E:E,0))</f>
        <v/>
      </c>
      <c r="G118" t="str">
        <f t="shared" si="3"/>
        <v/>
      </c>
    </row>
    <row r="119" spans="1:7" x14ac:dyDescent="0.2">
      <c r="A119" t="str">
        <f>IF(MASTER_RAW_MATERIALS!B119="","",MASTER_RAW_MATERIALS!B119)</f>
        <v/>
      </c>
      <c r="B119" t="str">
        <f>IF(A119="","",MASTER_RAW_MATERIALS!D119)</f>
        <v/>
      </c>
      <c r="C119" t="str">
        <f>IF(A119="","",SUMIFS(PURCHASES!E:E,PURCHASES!D:D,A119))</f>
        <v/>
      </c>
      <c r="D119" t="str">
        <f>IF(A119="","",SUMIFS(PRODUCTION_REPORT!E:E,PRODUCTION_REPORT!D:D,A119)+SUMIFS(PRODUCTION_REPORT!G:G,PRODUCTION_REPORT!F:F,A119)+SUMIFS(PRODUCTION_REPORT!I:I,PRODUCTION_REPORT!H:H,A119)+SUMIFS(PRODUCTION_REPORT!K:K,PRODUCTION_REPORT!J:J,A119)+SUMIFS(PRODUCTION_REPORT!M:M,PRODUCTION_REPORT!L:L,A119)+SUMIFS(PRODUCTION_REPORT!O:O,PRODUCTION_REPORT!N:N,A119))</f>
        <v/>
      </c>
      <c r="E119" t="str">
        <f t="shared" si="2"/>
        <v/>
      </c>
      <c r="F119" t="str">
        <f>IF(A119="","",_xludf.XLOOKUP(A119,MASTER_RAW_MATERIALS!B:B,MASTER_RAW_MATERIALS!E:E,0))</f>
        <v/>
      </c>
      <c r="G119" t="str">
        <f t="shared" si="3"/>
        <v/>
      </c>
    </row>
    <row r="120" spans="1:7" x14ac:dyDescent="0.2">
      <c r="A120" t="str">
        <f>IF(MASTER_RAW_MATERIALS!B120="","",MASTER_RAW_MATERIALS!B120)</f>
        <v/>
      </c>
      <c r="B120" t="str">
        <f>IF(A120="","",MASTER_RAW_MATERIALS!D120)</f>
        <v/>
      </c>
      <c r="C120" t="str">
        <f>IF(A120="","",SUMIFS(PURCHASES!E:E,PURCHASES!D:D,A120))</f>
        <v/>
      </c>
      <c r="D120" t="str">
        <f>IF(A120="","",SUMIFS(PRODUCTION_REPORT!E:E,PRODUCTION_REPORT!D:D,A120)+SUMIFS(PRODUCTION_REPORT!G:G,PRODUCTION_REPORT!F:F,A120)+SUMIFS(PRODUCTION_REPORT!I:I,PRODUCTION_REPORT!H:H,A120)+SUMIFS(PRODUCTION_REPORT!K:K,PRODUCTION_REPORT!J:J,A120)+SUMIFS(PRODUCTION_REPORT!M:M,PRODUCTION_REPORT!L:L,A120)+SUMIFS(PRODUCTION_REPORT!O:O,PRODUCTION_REPORT!N:N,A120))</f>
        <v/>
      </c>
      <c r="E120" t="str">
        <f t="shared" si="2"/>
        <v/>
      </c>
      <c r="F120" t="str">
        <f>IF(A120="","",_xludf.XLOOKUP(A120,MASTER_RAW_MATERIALS!B:B,MASTER_RAW_MATERIALS!E:E,0))</f>
        <v/>
      </c>
      <c r="G120" t="str">
        <f t="shared" si="3"/>
        <v/>
      </c>
    </row>
    <row r="121" spans="1:7" x14ac:dyDescent="0.2">
      <c r="A121" t="str">
        <f>IF(MASTER_RAW_MATERIALS!B121="","",MASTER_RAW_MATERIALS!B121)</f>
        <v/>
      </c>
      <c r="B121" t="str">
        <f>IF(A121="","",MASTER_RAW_MATERIALS!D121)</f>
        <v/>
      </c>
      <c r="C121" t="str">
        <f>IF(A121="","",SUMIFS(PURCHASES!E:E,PURCHASES!D:D,A121))</f>
        <v/>
      </c>
      <c r="D121" t="str">
        <f>IF(A121="","",SUMIFS(PRODUCTION_REPORT!E:E,PRODUCTION_REPORT!D:D,A121)+SUMIFS(PRODUCTION_REPORT!G:G,PRODUCTION_REPORT!F:F,A121)+SUMIFS(PRODUCTION_REPORT!I:I,PRODUCTION_REPORT!H:H,A121)+SUMIFS(PRODUCTION_REPORT!K:K,PRODUCTION_REPORT!J:J,A121)+SUMIFS(PRODUCTION_REPORT!M:M,PRODUCTION_REPORT!L:L,A121)+SUMIFS(PRODUCTION_REPORT!O:O,PRODUCTION_REPORT!N:N,A121))</f>
        <v/>
      </c>
      <c r="E121" t="str">
        <f t="shared" si="2"/>
        <v/>
      </c>
      <c r="F121" t="str">
        <f>IF(A121="","",_xludf.XLOOKUP(A121,MASTER_RAW_MATERIALS!B:B,MASTER_RAW_MATERIALS!E:E,0))</f>
        <v/>
      </c>
      <c r="G121" t="str">
        <f t="shared" si="3"/>
        <v/>
      </c>
    </row>
    <row r="122" spans="1:7" x14ac:dyDescent="0.2">
      <c r="A122" t="str">
        <f>IF(MASTER_RAW_MATERIALS!B122="","",MASTER_RAW_MATERIALS!B122)</f>
        <v/>
      </c>
      <c r="B122" t="str">
        <f>IF(A122="","",MASTER_RAW_MATERIALS!D122)</f>
        <v/>
      </c>
      <c r="C122" t="str">
        <f>IF(A122="","",SUMIFS(PURCHASES!E:E,PURCHASES!D:D,A122))</f>
        <v/>
      </c>
      <c r="D122" t="str">
        <f>IF(A122="","",SUMIFS(PRODUCTION_REPORT!E:E,PRODUCTION_REPORT!D:D,A122)+SUMIFS(PRODUCTION_REPORT!G:G,PRODUCTION_REPORT!F:F,A122)+SUMIFS(PRODUCTION_REPORT!I:I,PRODUCTION_REPORT!H:H,A122)+SUMIFS(PRODUCTION_REPORT!K:K,PRODUCTION_REPORT!J:J,A122)+SUMIFS(PRODUCTION_REPORT!M:M,PRODUCTION_REPORT!L:L,A122)+SUMIFS(PRODUCTION_REPORT!O:O,PRODUCTION_REPORT!N:N,A122))</f>
        <v/>
      </c>
      <c r="E122" t="str">
        <f t="shared" si="2"/>
        <v/>
      </c>
      <c r="F122" t="str">
        <f>IF(A122="","",_xludf.XLOOKUP(A122,MASTER_RAW_MATERIALS!B:B,MASTER_RAW_MATERIALS!E:E,0))</f>
        <v/>
      </c>
      <c r="G122" t="str">
        <f t="shared" si="3"/>
        <v/>
      </c>
    </row>
    <row r="123" spans="1:7" x14ac:dyDescent="0.2">
      <c r="A123" t="str">
        <f>IF(MASTER_RAW_MATERIALS!B123="","",MASTER_RAW_MATERIALS!B123)</f>
        <v/>
      </c>
      <c r="B123" t="str">
        <f>IF(A123="","",MASTER_RAW_MATERIALS!D123)</f>
        <v/>
      </c>
      <c r="C123" t="str">
        <f>IF(A123="","",SUMIFS(PURCHASES!E:E,PURCHASES!D:D,A123))</f>
        <v/>
      </c>
      <c r="D123" t="str">
        <f>IF(A123="","",SUMIFS(PRODUCTION_REPORT!E:E,PRODUCTION_REPORT!D:D,A123)+SUMIFS(PRODUCTION_REPORT!G:G,PRODUCTION_REPORT!F:F,A123)+SUMIFS(PRODUCTION_REPORT!I:I,PRODUCTION_REPORT!H:H,A123)+SUMIFS(PRODUCTION_REPORT!K:K,PRODUCTION_REPORT!J:J,A123)+SUMIFS(PRODUCTION_REPORT!M:M,PRODUCTION_REPORT!L:L,A123)+SUMIFS(PRODUCTION_REPORT!O:O,PRODUCTION_REPORT!N:N,A123))</f>
        <v/>
      </c>
      <c r="E123" t="str">
        <f t="shared" si="2"/>
        <v/>
      </c>
      <c r="F123" t="str">
        <f>IF(A123="","",_xludf.XLOOKUP(A123,MASTER_RAW_MATERIALS!B:B,MASTER_RAW_MATERIALS!E:E,0))</f>
        <v/>
      </c>
      <c r="G123" t="str">
        <f t="shared" si="3"/>
        <v/>
      </c>
    </row>
    <row r="124" spans="1:7" x14ac:dyDescent="0.2">
      <c r="A124" t="str">
        <f>IF(MASTER_RAW_MATERIALS!B124="","",MASTER_RAW_MATERIALS!B124)</f>
        <v/>
      </c>
      <c r="B124" t="str">
        <f>IF(A124="","",MASTER_RAW_MATERIALS!D124)</f>
        <v/>
      </c>
      <c r="C124" t="str">
        <f>IF(A124="","",SUMIFS(PURCHASES!E:E,PURCHASES!D:D,A124))</f>
        <v/>
      </c>
      <c r="D124" t="str">
        <f>IF(A124="","",SUMIFS(PRODUCTION_REPORT!E:E,PRODUCTION_REPORT!D:D,A124)+SUMIFS(PRODUCTION_REPORT!G:G,PRODUCTION_REPORT!F:F,A124)+SUMIFS(PRODUCTION_REPORT!I:I,PRODUCTION_REPORT!H:H,A124)+SUMIFS(PRODUCTION_REPORT!K:K,PRODUCTION_REPORT!J:J,A124)+SUMIFS(PRODUCTION_REPORT!M:M,PRODUCTION_REPORT!L:L,A124)+SUMIFS(PRODUCTION_REPORT!O:O,PRODUCTION_REPORT!N:N,A124))</f>
        <v/>
      </c>
      <c r="E124" t="str">
        <f t="shared" si="2"/>
        <v/>
      </c>
      <c r="F124" t="str">
        <f>IF(A124="","",_xludf.XLOOKUP(A124,MASTER_RAW_MATERIALS!B:B,MASTER_RAW_MATERIALS!E:E,0))</f>
        <v/>
      </c>
      <c r="G124" t="str">
        <f t="shared" si="3"/>
        <v/>
      </c>
    </row>
    <row r="125" spans="1:7" x14ac:dyDescent="0.2">
      <c r="A125" t="str">
        <f>IF(MASTER_RAW_MATERIALS!B125="","",MASTER_RAW_MATERIALS!B125)</f>
        <v/>
      </c>
      <c r="B125" t="str">
        <f>IF(A125="","",MASTER_RAW_MATERIALS!D125)</f>
        <v/>
      </c>
      <c r="C125" t="str">
        <f>IF(A125="","",SUMIFS(PURCHASES!E:E,PURCHASES!D:D,A125))</f>
        <v/>
      </c>
      <c r="D125" t="str">
        <f>IF(A125="","",SUMIFS(PRODUCTION_REPORT!E:E,PRODUCTION_REPORT!D:D,A125)+SUMIFS(PRODUCTION_REPORT!G:G,PRODUCTION_REPORT!F:F,A125)+SUMIFS(PRODUCTION_REPORT!I:I,PRODUCTION_REPORT!H:H,A125)+SUMIFS(PRODUCTION_REPORT!K:K,PRODUCTION_REPORT!J:J,A125)+SUMIFS(PRODUCTION_REPORT!M:M,PRODUCTION_REPORT!L:L,A125)+SUMIFS(PRODUCTION_REPORT!O:O,PRODUCTION_REPORT!N:N,A125))</f>
        <v/>
      </c>
      <c r="E125" t="str">
        <f t="shared" si="2"/>
        <v/>
      </c>
      <c r="F125" t="str">
        <f>IF(A125="","",_xludf.XLOOKUP(A125,MASTER_RAW_MATERIALS!B:B,MASTER_RAW_MATERIALS!E:E,0))</f>
        <v/>
      </c>
      <c r="G125" t="str">
        <f t="shared" si="3"/>
        <v/>
      </c>
    </row>
    <row r="126" spans="1:7" x14ac:dyDescent="0.2">
      <c r="A126" t="str">
        <f>IF(MASTER_RAW_MATERIALS!B126="","",MASTER_RAW_MATERIALS!B126)</f>
        <v/>
      </c>
      <c r="B126" t="str">
        <f>IF(A126="","",MASTER_RAW_MATERIALS!D126)</f>
        <v/>
      </c>
      <c r="C126" t="str">
        <f>IF(A126="","",SUMIFS(PURCHASES!E:E,PURCHASES!D:D,A126))</f>
        <v/>
      </c>
      <c r="D126" t="str">
        <f>IF(A126="","",SUMIFS(PRODUCTION_REPORT!E:E,PRODUCTION_REPORT!D:D,A126)+SUMIFS(PRODUCTION_REPORT!G:G,PRODUCTION_REPORT!F:F,A126)+SUMIFS(PRODUCTION_REPORT!I:I,PRODUCTION_REPORT!H:H,A126)+SUMIFS(PRODUCTION_REPORT!K:K,PRODUCTION_REPORT!J:J,A126)+SUMIFS(PRODUCTION_REPORT!M:M,PRODUCTION_REPORT!L:L,A126)+SUMIFS(PRODUCTION_REPORT!O:O,PRODUCTION_REPORT!N:N,A126))</f>
        <v/>
      </c>
      <c r="E126" t="str">
        <f t="shared" si="2"/>
        <v/>
      </c>
      <c r="F126" t="str">
        <f>IF(A126="","",_xludf.XLOOKUP(A126,MASTER_RAW_MATERIALS!B:B,MASTER_RAW_MATERIALS!E:E,0))</f>
        <v/>
      </c>
      <c r="G126" t="str">
        <f t="shared" si="3"/>
        <v/>
      </c>
    </row>
    <row r="127" spans="1:7" x14ac:dyDescent="0.2">
      <c r="A127" t="str">
        <f>IF(MASTER_RAW_MATERIALS!B127="","",MASTER_RAW_MATERIALS!B127)</f>
        <v/>
      </c>
      <c r="B127" t="str">
        <f>IF(A127="","",MASTER_RAW_MATERIALS!D127)</f>
        <v/>
      </c>
      <c r="C127" t="str">
        <f>IF(A127="","",SUMIFS(PURCHASES!E:E,PURCHASES!D:D,A127))</f>
        <v/>
      </c>
      <c r="D127" t="str">
        <f>IF(A127="","",SUMIFS(PRODUCTION_REPORT!E:E,PRODUCTION_REPORT!D:D,A127)+SUMIFS(PRODUCTION_REPORT!G:G,PRODUCTION_REPORT!F:F,A127)+SUMIFS(PRODUCTION_REPORT!I:I,PRODUCTION_REPORT!H:H,A127)+SUMIFS(PRODUCTION_REPORT!K:K,PRODUCTION_REPORT!J:J,A127)+SUMIFS(PRODUCTION_REPORT!M:M,PRODUCTION_REPORT!L:L,A127)+SUMIFS(PRODUCTION_REPORT!O:O,PRODUCTION_REPORT!N:N,A127))</f>
        <v/>
      </c>
      <c r="E127" t="str">
        <f t="shared" si="2"/>
        <v/>
      </c>
      <c r="F127" t="str">
        <f>IF(A127="","",_xludf.XLOOKUP(A127,MASTER_RAW_MATERIALS!B:B,MASTER_RAW_MATERIALS!E:E,0))</f>
        <v/>
      </c>
      <c r="G127" t="str">
        <f t="shared" si="3"/>
        <v/>
      </c>
    </row>
    <row r="128" spans="1:7" x14ac:dyDescent="0.2">
      <c r="A128" t="str">
        <f>IF(MASTER_RAW_MATERIALS!B128="","",MASTER_RAW_MATERIALS!B128)</f>
        <v/>
      </c>
      <c r="B128" t="str">
        <f>IF(A128="","",MASTER_RAW_MATERIALS!D128)</f>
        <v/>
      </c>
      <c r="C128" t="str">
        <f>IF(A128="","",SUMIFS(PURCHASES!E:E,PURCHASES!D:D,A128))</f>
        <v/>
      </c>
      <c r="D128" t="str">
        <f>IF(A128="","",SUMIFS(PRODUCTION_REPORT!E:E,PRODUCTION_REPORT!D:D,A128)+SUMIFS(PRODUCTION_REPORT!G:G,PRODUCTION_REPORT!F:F,A128)+SUMIFS(PRODUCTION_REPORT!I:I,PRODUCTION_REPORT!H:H,A128)+SUMIFS(PRODUCTION_REPORT!K:K,PRODUCTION_REPORT!J:J,A128)+SUMIFS(PRODUCTION_REPORT!M:M,PRODUCTION_REPORT!L:L,A128)+SUMIFS(PRODUCTION_REPORT!O:O,PRODUCTION_REPORT!N:N,A128))</f>
        <v/>
      </c>
      <c r="E128" t="str">
        <f t="shared" si="2"/>
        <v/>
      </c>
      <c r="F128" t="str">
        <f>IF(A128="","",_xludf.XLOOKUP(A128,MASTER_RAW_MATERIALS!B:B,MASTER_RAW_MATERIALS!E:E,0))</f>
        <v/>
      </c>
      <c r="G128" t="str">
        <f t="shared" si="3"/>
        <v/>
      </c>
    </row>
    <row r="129" spans="1:7" x14ac:dyDescent="0.2">
      <c r="A129" t="str">
        <f>IF(MASTER_RAW_MATERIALS!B129="","",MASTER_RAW_MATERIALS!B129)</f>
        <v/>
      </c>
      <c r="B129" t="str">
        <f>IF(A129="","",MASTER_RAW_MATERIALS!D129)</f>
        <v/>
      </c>
      <c r="C129" t="str">
        <f>IF(A129="","",SUMIFS(PURCHASES!E:E,PURCHASES!D:D,A129))</f>
        <v/>
      </c>
      <c r="D129" t="str">
        <f>IF(A129="","",SUMIFS(PRODUCTION_REPORT!E:E,PRODUCTION_REPORT!D:D,A129)+SUMIFS(PRODUCTION_REPORT!G:G,PRODUCTION_REPORT!F:F,A129)+SUMIFS(PRODUCTION_REPORT!I:I,PRODUCTION_REPORT!H:H,A129)+SUMIFS(PRODUCTION_REPORT!K:K,PRODUCTION_REPORT!J:J,A129)+SUMIFS(PRODUCTION_REPORT!M:M,PRODUCTION_REPORT!L:L,A129)+SUMIFS(PRODUCTION_REPORT!O:O,PRODUCTION_REPORT!N:N,A129))</f>
        <v/>
      </c>
      <c r="E129" t="str">
        <f t="shared" si="2"/>
        <v/>
      </c>
      <c r="F129" t="str">
        <f>IF(A129="","",_xludf.XLOOKUP(A129,MASTER_RAW_MATERIALS!B:B,MASTER_RAW_MATERIALS!E:E,0))</f>
        <v/>
      </c>
      <c r="G129" t="str">
        <f t="shared" si="3"/>
        <v/>
      </c>
    </row>
    <row r="130" spans="1:7" x14ac:dyDescent="0.2">
      <c r="A130" t="str">
        <f>IF(MASTER_RAW_MATERIALS!B130="","",MASTER_RAW_MATERIALS!B130)</f>
        <v/>
      </c>
      <c r="B130" t="str">
        <f>IF(A130="","",MASTER_RAW_MATERIALS!D130)</f>
        <v/>
      </c>
      <c r="C130" t="str">
        <f>IF(A130="","",SUMIFS(PURCHASES!E:E,PURCHASES!D:D,A130))</f>
        <v/>
      </c>
      <c r="D130" t="str">
        <f>IF(A130="","",SUMIFS(PRODUCTION_REPORT!E:E,PRODUCTION_REPORT!D:D,A130)+SUMIFS(PRODUCTION_REPORT!G:G,PRODUCTION_REPORT!F:F,A130)+SUMIFS(PRODUCTION_REPORT!I:I,PRODUCTION_REPORT!H:H,A130)+SUMIFS(PRODUCTION_REPORT!K:K,PRODUCTION_REPORT!J:J,A130)+SUMIFS(PRODUCTION_REPORT!M:M,PRODUCTION_REPORT!L:L,A130)+SUMIFS(PRODUCTION_REPORT!O:O,PRODUCTION_REPORT!N:N,A130))</f>
        <v/>
      </c>
      <c r="E130" t="str">
        <f t="shared" ref="E130:E193" si="4">IF(A130="","",B130+C130-D130)</f>
        <v/>
      </c>
      <c r="F130" t="str">
        <f>IF(A130="","",_xludf.XLOOKUP(A130,MASTER_RAW_MATERIALS!B:B,MASTER_RAW_MATERIALS!E:E,0))</f>
        <v/>
      </c>
      <c r="G130" t="str">
        <f t="shared" ref="G130:G193" si="5">IF(A130="","",E130*F130)</f>
        <v/>
      </c>
    </row>
    <row r="131" spans="1:7" x14ac:dyDescent="0.2">
      <c r="A131" t="str">
        <f>IF(MASTER_RAW_MATERIALS!B131="","",MASTER_RAW_MATERIALS!B131)</f>
        <v/>
      </c>
      <c r="B131" t="str">
        <f>IF(A131="","",MASTER_RAW_MATERIALS!D131)</f>
        <v/>
      </c>
      <c r="C131" t="str">
        <f>IF(A131="","",SUMIFS(PURCHASES!E:E,PURCHASES!D:D,A131))</f>
        <v/>
      </c>
      <c r="D131" t="str">
        <f>IF(A131="","",SUMIFS(PRODUCTION_REPORT!E:E,PRODUCTION_REPORT!D:D,A131)+SUMIFS(PRODUCTION_REPORT!G:G,PRODUCTION_REPORT!F:F,A131)+SUMIFS(PRODUCTION_REPORT!I:I,PRODUCTION_REPORT!H:H,A131)+SUMIFS(PRODUCTION_REPORT!K:K,PRODUCTION_REPORT!J:J,A131)+SUMIFS(PRODUCTION_REPORT!M:M,PRODUCTION_REPORT!L:L,A131)+SUMIFS(PRODUCTION_REPORT!O:O,PRODUCTION_REPORT!N:N,A131))</f>
        <v/>
      </c>
      <c r="E131" t="str">
        <f t="shared" si="4"/>
        <v/>
      </c>
      <c r="F131" t="str">
        <f>IF(A131="","",_xludf.XLOOKUP(A131,MASTER_RAW_MATERIALS!B:B,MASTER_RAW_MATERIALS!E:E,0))</f>
        <v/>
      </c>
      <c r="G131" t="str">
        <f t="shared" si="5"/>
        <v/>
      </c>
    </row>
    <row r="132" spans="1:7" x14ac:dyDescent="0.2">
      <c r="A132" t="str">
        <f>IF(MASTER_RAW_MATERIALS!B132="","",MASTER_RAW_MATERIALS!B132)</f>
        <v/>
      </c>
      <c r="B132" t="str">
        <f>IF(A132="","",MASTER_RAW_MATERIALS!D132)</f>
        <v/>
      </c>
      <c r="C132" t="str">
        <f>IF(A132="","",SUMIFS(PURCHASES!E:E,PURCHASES!D:D,A132))</f>
        <v/>
      </c>
      <c r="D132" t="str">
        <f>IF(A132="","",SUMIFS(PRODUCTION_REPORT!E:E,PRODUCTION_REPORT!D:D,A132)+SUMIFS(PRODUCTION_REPORT!G:G,PRODUCTION_REPORT!F:F,A132)+SUMIFS(PRODUCTION_REPORT!I:I,PRODUCTION_REPORT!H:H,A132)+SUMIFS(PRODUCTION_REPORT!K:K,PRODUCTION_REPORT!J:J,A132)+SUMIFS(PRODUCTION_REPORT!M:M,PRODUCTION_REPORT!L:L,A132)+SUMIFS(PRODUCTION_REPORT!O:O,PRODUCTION_REPORT!N:N,A132))</f>
        <v/>
      </c>
      <c r="E132" t="str">
        <f t="shared" si="4"/>
        <v/>
      </c>
      <c r="F132" t="str">
        <f>IF(A132="","",_xludf.XLOOKUP(A132,MASTER_RAW_MATERIALS!B:B,MASTER_RAW_MATERIALS!E:E,0))</f>
        <v/>
      </c>
      <c r="G132" t="str">
        <f t="shared" si="5"/>
        <v/>
      </c>
    </row>
    <row r="133" spans="1:7" x14ac:dyDescent="0.2">
      <c r="A133" t="str">
        <f>IF(MASTER_RAW_MATERIALS!B133="","",MASTER_RAW_MATERIALS!B133)</f>
        <v/>
      </c>
      <c r="B133" t="str">
        <f>IF(A133="","",MASTER_RAW_MATERIALS!D133)</f>
        <v/>
      </c>
      <c r="C133" t="str">
        <f>IF(A133="","",SUMIFS(PURCHASES!E:E,PURCHASES!D:D,A133))</f>
        <v/>
      </c>
      <c r="D133" t="str">
        <f>IF(A133="","",SUMIFS(PRODUCTION_REPORT!E:E,PRODUCTION_REPORT!D:D,A133)+SUMIFS(PRODUCTION_REPORT!G:G,PRODUCTION_REPORT!F:F,A133)+SUMIFS(PRODUCTION_REPORT!I:I,PRODUCTION_REPORT!H:H,A133)+SUMIFS(PRODUCTION_REPORT!K:K,PRODUCTION_REPORT!J:J,A133)+SUMIFS(PRODUCTION_REPORT!M:M,PRODUCTION_REPORT!L:L,A133)+SUMIFS(PRODUCTION_REPORT!O:O,PRODUCTION_REPORT!N:N,A133))</f>
        <v/>
      </c>
      <c r="E133" t="str">
        <f t="shared" si="4"/>
        <v/>
      </c>
      <c r="F133" t="str">
        <f>IF(A133="","",_xludf.XLOOKUP(A133,MASTER_RAW_MATERIALS!B:B,MASTER_RAW_MATERIALS!E:E,0))</f>
        <v/>
      </c>
      <c r="G133" t="str">
        <f t="shared" si="5"/>
        <v/>
      </c>
    </row>
    <row r="134" spans="1:7" x14ac:dyDescent="0.2">
      <c r="A134" t="str">
        <f>IF(MASTER_RAW_MATERIALS!B134="","",MASTER_RAW_MATERIALS!B134)</f>
        <v/>
      </c>
      <c r="B134" t="str">
        <f>IF(A134="","",MASTER_RAW_MATERIALS!D134)</f>
        <v/>
      </c>
      <c r="C134" t="str">
        <f>IF(A134="","",SUMIFS(PURCHASES!E:E,PURCHASES!D:D,A134))</f>
        <v/>
      </c>
      <c r="D134" t="str">
        <f>IF(A134="","",SUMIFS(PRODUCTION_REPORT!E:E,PRODUCTION_REPORT!D:D,A134)+SUMIFS(PRODUCTION_REPORT!G:G,PRODUCTION_REPORT!F:F,A134)+SUMIFS(PRODUCTION_REPORT!I:I,PRODUCTION_REPORT!H:H,A134)+SUMIFS(PRODUCTION_REPORT!K:K,PRODUCTION_REPORT!J:J,A134)+SUMIFS(PRODUCTION_REPORT!M:M,PRODUCTION_REPORT!L:L,A134)+SUMIFS(PRODUCTION_REPORT!O:O,PRODUCTION_REPORT!N:N,A134))</f>
        <v/>
      </c>
      <c r="E134" t="str">
        <f t="shared" si="4"/>
        <v/>
      </c>
      <c r="F134" t="str">
        <f>IF(A134="","",_xludf.XLOOKUP(A134,MASTER_RAW_MATERIALS!B:B,MASTER_RAW_MATERIALS!E:E,0))</f>
        <v/>
      </c>
      <c r="G134" t="str">
        <f t="shared" si="5"/>
        <v/>
      </c>
    </row>
    <row r="135" spans="1:7" x14ac:dyDescent="0.2">
      <c r="A135" t="str">
        <f>IF(MASTER_RAW_MATERIALS!B135="","",MASTER_RAW_MATERIALS!B135)</f>
        <v/>
      </c>
      <c r="B135" t="str">
        <f>IF(A135="","",MASTER_RAW_MATERIALS!D135)</f>
        <v/>
      </c>
      <c r="C135" t="str">
        <f>IF(A135="","",SUMIFS(PURCHASES!E:E,PURCHASES!D:D,A135))</f>
        <v/>
      </c>
      <c r="D135" t="str">
        <f>IF(A135="","",SUMIFS(PRODUCTION_REPORT!E:E,PRODUCTION_REPORT!D:D,A135)+SUMIFS(PRODUCTION_REPORT!G:G,PRODUCTION_REPORT!F:F,A135)+SUMIFS(PRODUCTION_REPORT!I:I,PRODUCTION_REPORT!H:H,A135)+SUMIFS(PRODUCTION_REPORT!K:K,PRODUCTION_REPORT!J:J,A135)+SUMIFS(PRODUCTION_REPORT!M:M,PRODUCTION_REPORT!L:L,A135)+SUMIFS(PRODUCTION_REPORT!O:O,PRODUCTION_REPORT!N:N,A135))</f>
        <v/>
      </c>
      <c r="E135" t="str">
        <f t="shared" si="4"/>
        <v/>
      </c>
      <c r="F135" t="str">
        <f>IF(A135="","",_xludf.XLOOKUP(A135,MASTER_RAW_MATERIALS!B:B,MASTER_RAW_MATERIALS!E:E,0))</f>
        <v/>
      </c>
      <c r="G135" t="str">
        <f t="shared" si="5"/>
        <v/>
      </c>
    </row>
    <row r="136" spans="1:7" x14ac:dyDescent="0.2">
      <c r="A136" t="str">
        <f>IF(MASTER_RAW_MATERIALS!B136="","",MASTER_RAW_MATERIALS!B136)</f>
        <v/>
      </c>
      <c r="B136" t="str">
        <f>IF(A136="","",MASTER_RAW_MATERIALS!D136)</f>
        <v/>
      </c>
      <c r="C136" t="str">
        <f>IF(A136="","",SUMIFS(PURCHASES!E:E,PURCHASES!D:D,A136))</f>
        <v/>
      </c>
      <c r="D136" t="str">
        <f>IF(A136="","",SUMIFS(PRODUCTION_REPORT!E:E,PRODUCTION_REPORT!D:D,A136)+SUMIFS(PRODUCTION_REPORT!G:G,PRODUCTION_REPORT!F:F,A136)+SUMIFS(PRODUCTION_REPORT!I:I,PRODUCTION_REPORT!H:H,A136)+SUMIFS(PRODUCTION_REPORT!K:K,PRODUCTION_REPORT!J:J,A136)+SUMIFS(PRODUCTION_REPORT!M:M,PRODUCTION_REPORT!L:L,A136)+SUMIFS(PRODUCTION_REPORT!O:O,PRODUCTION_REPORT!N:N,A136))</f>
        <v/>
      </c>
      <c r="E136" t="str">
        <f t="shared" si="4"/>
        <v/>
      </c>
      <c r="F136" t="str">
        <f>IF(A136="","",_xludf.XLOOKUP(A136,MASTER_RAW_MATERIALS!B:B,MASTER_RAW_MATERIALS!E:E,0))</f>
        <v/>
      </c>
      <c r="G136" t="str">
        <f t="shared" si="5"/>
        <v/>
      </c>
    </row>
    <row r="137" spans="1:7" x14ac:dyDescent="0.2">
      <c r="A137" t="str">
        <f>IF(MASTER_RAW_MATERIALS!B137="","",MASTER_RAW_MATERIALS!B137)</f>
        <v/>
      </c>
      <c r="B137" t="str">
        <f>IF(A137="","",MASTER_RAW_MATERIALS!D137)</f>
        <v/>
      </c>
      <c r="C137" t="str">
        <f>IF(A137="","",SUMIFS(PURCHASES!E:E,PURCHASES!D:D,A137))</f>
        <v/>
      </c>
      <c r="D137" t="str">
        <f>IF(A137="","",SUMIFS(PRODUCTION_REPORT!E:E,PRODUCTION_REPORT!D:D,A137)+SUMIFS(PRODUCTION_REPORT!G:G,PRODUCTION_REPORT!F:F,A137)+SUMIFS(PRODUCTION_REPORT!I:I,PRODUCTION_REPORT!H:H,A137)+SUMIFS(PRODUCTION_REPORT!K:K,PRODUCTION_REPORT!J:J,A137)+SUMIFS(PRODUCTION_REPORT!M:M,PRODUCTION_REPORT!L:L,A137)+SUMIFS(PRODUCTION_REPORT!O:O,PRODUCTION_REPORT!N:N,A137))</f>
        <v/>
      </c>
      <c r="E137" t="str">
        <f t="shared" si="4"/>
        <v/>
      </c>
      <c r="F137" t="str">
        <f>IF(A137="","",_xludf.XLOOKUP(A137,MASTER_RAW_MATERIALS!B:B,MASTER_RAW_MATERIALS!E:E,0))</f>
        <v/>
      </c>
      <c r="G137" t="str">
        <f t="shared" si="5"/>
        <v/>
      </c>
    </row>
    <row r="138" spans="1:7" x14ac:dyDescent="0.2">
      <c r="A138" t="str">
        <f>IF(MASTER_RAW_MATERIALS!B138="","",MASTER_RAW_MATERIALS!B138)</f>
        <v/>
      </c>
      <c r="B138" t="str">
        <f>IF(A138="","",MASTER_RAW_MATERIALS!D138)</f>
        <v/>
      </c>
      <c r="C138" t="str">
        <f>IF(A138="","",SUMIFS(PURCHASES!E:E,PURCHASES!D:D,A138))</f>
        <v/>
      </c>
      <c r="D138" t="str">
        <f>IF(A138="","",SUMIFS(PRODUCTION_REPORT!E:E,PRODUCTION_REPORT!D:D,A138)+SUMIFS(PRODUCTION_REPORT!G:G,PRODUCTION_REPORT!F:F,A138)+SUMIFS(PRODUCTION_REPORT!I:I,PRODUCTION_REPORT!H:H,A138)+SUMIFS(PRODUCTION_REPORT!K:K,PRODUCTION_REPORT!J:J,A138)+SUMIFS(PRODUCTION_REPORT!M:M,PRODUCTION_REPORT!L:L,A138)+SUMIFS(PRODUCTION_REPORT!O:O,PRODUCTION_REPORT!N:N,A138))</f>
        <v/>
      </c>
      <c r="E138" t="str">
        <f t="shared" si="4"/>
        <v/>
      </c>
      <c r="F138" t="str">
        <f>IF(A138="","",_xludf.XLOOKUP(A138,MASTER_RAW_MATERIALS!B:B,MASTER_RAW_MATERIALS!E:E,0))</f>
        <v/>
      </c>
      <c r="G138" t="str">
        <f t="shared" si="5"/>
        <v/>
      </c>
    </row>
    <row r="139" spans="1:7" x14ac:dyDescent="0.2">
      <c r="A139" t="str">
        <f>IF(MASTER_RAW_MATERIALS!B139="","",MASTER_RAW_MATERIALS!B139)</f>
        <v/>
      </c>
      <c r="B139" t="str">
        <f>IF(A139="","",MASTER_RAW_MATERIALS!D139)</f>
        <v/>
      </c>
      <c r="C139" t="str">
        <f>IF(A139="","",SUMIFS(PURCHASES!E:E,PURCHASES!D:D,A139))</f>
        <v/>
      </c>
      <c r="D139" t="str">
        <f>IF(A139="","",SUMIFS(PRODUCTION_REPORT!E:E,PRODUCTION_REPORT!D:D,A139)+SUMIFS(PRODUCTION_REPORT!G:G,PRODUCTION_REPORT!F:F,A139)+SUMIFS(PRODUCTION_REPORT!I:I,PRODUCTION_REPORT!H:H,A139)+SUMIFS(PRODUCTION_REPORT!K:K,PRODUCTION_REPORT!J:J,A139)+SUMIFS(PRODUCTION_REPORT!M:M,PRODUCTION_REPORT!L:L,A139)+SUMIFS(PRODUCTION_REPORT!O:O,PRODUCTION_REPORT!N:N,A139))</f>
        <v/>
      </c>
      <c r="E139" t="str">
        <f t="shared" si="4"/>
        <v/>
      </c>
      <c r="F139" t="str">
        <f>IF(A139="","",_xludf.XLOOKUP(A139,MASTER_RAW_MATERIALS!B:B,MASTER_RAW_MATERIALS!E:E,0))</f>
        <v/>
      </c>
      <c r="G139" t="str">
        <f t="shared" si="5"/>
        <v/>
      </c>
    </row>
    <row r="140" spans="1:7" x14ac:dyDescent="0.2">
      <c r="A140" t="str">
        <f>IF(MASTER_RAW_MATERIALS!B140="","",MASTER_RAW_MATERIALS!B140)</f>
        <v/>
      </c>
      <c r="B140" t="str">
        <f>IF(A140="","",MASTER_RAW_MATERIALS!D140)</f>
        <v/>
      </c>
      <c r="C140" t="str">
        <f>IF(A140="","",SUMIFS(PURCHASES!E:E,PURCHASES!D:D,A140))</f>
        <v/>
      </c>
      <c r="D140" t="str">
        <f>IF(A140="","",SUMIFS(PRODUCTION_REPORT!E:E,PRODUCTION_REPORT!D:D,A140)+SUMIFS(PRODUCTION_REPORT!G:G,PRODUCTION_REPORT!F:F,A140)+SUMIFS(PRODUCTION_REPORT!I:I,PRODUCTION_REPORT!H:H,A140)+SUMIFS(PRODUCTION_REPORT!K:K,PRODUCTION_REPORT!J:J,A140)+SUMIFS(PRODUCTION_REPORT!M:M,PRODUCTION_REPORT!L:L,A140)+SUMIFS(PRODUCTION_REPORT!O:O,PRODUCTION_REPORT!N:N,A140))</f>
        <v/>
      </c>
      <c r="E140" t="str">
        <f t="shared" si="4"/>
        <v/>
      </c>
      <c r="F140" t="str">
        <f>IF(A140="","",_xludf.XLOOKUP(A140,MASTER_RAW_MATERIALS!B:B,MASTER_RAW_MATERIALS!E:E,0))</f>
        <v/>
      </c>
      <c r="G140" t="str">
        <f t="shared" si="5"/>
        <v/>
      </c>
    </row>
    <row r="141" spans="1:7" x14ac:dyDescent="0.2">
      <c r="A141" t="str">
        <f>IF(MASTER_RAW_MATERIALS!B141="","",MASTER_RAW_MATERIALS!B141)</f>
        <v/>
      </c>
      <c r="B141" t="str">
        <f>IF(A141="","",MASTER_RAW_MATERIALS!D141)</f>
        <v/>
      </c>
      <c r="C141" t="str">
        <f>IF(A141="","",SUMIFS(PURCHASES!E:E,PURCHASES!D:D,A141))</f>
        <v/>
      </c>
      <c r="D141" t="str">
        <f>IF(A141="","",SUMIFS(PRODUCTION_REPORT!E:E,PRODUCTION_REPORT!D:D,A141)+SUMIFS(PRODUCTION_REPORT!G:G,PRODUCTION_REPORT!F:F,A141)+SUMIFS(PRODUCTION_REPORT!I:I,PRODUCTION_REPORT!H:H,A141)+SUMIFS(PRODUCTION_REPORT!K:K,PRODUCTION_REPORT!J:J,A141)+SUMIFS(PRODUCTION_REPORT!M:M,PRODUCTION_REPORT!L:L,A141)+SUMIFS(PRODUCTION_REPORT!O:O,PRODUCTION_REPORT!N:N,A141))</f>
        <v/>
      </c>
      <c r="E141" t="str">
        <f t="shared" si="4"/>
        <v/>
      </c>
      <c r="F141" t="str">
        <f>IF(A141="","",_xludf.XLOOKUP(A141,MASTER_RAW_MATERIALS!B:B,MASTER_RAW_MATERIALS!E:E,0))</f>
        <v/>
      </c>
      <c r="G141" t="str">
        <f t="shared" si="5"/>
        <v/>
      </c>
    </row>
    <row r="142" spans="1:7" x14ac:dyDescent="0.2">
      <c r="A142" t="str">
        <f>IF(MASTER_RAW_MATERIALS!B142="","",MASTER_RAW_MATERIALS!B142)</f>
        <v/>
      </c>
      <c r="B142" t="str">
        <f>IF(A142="","",MASTER_RAW_MATERIALS!D142)</f>
        <v/>
      </c>
      <c r="C142" t="str">
        <f>IF(A142="","",SUMIFS(PURCHASES!E:E,PURCHASES!D:D,A142))</f>
        <v/>
      </c>
      <c r="D142" t="str">
        <f>IF(A142="","",SUMIFS(PRODUCTION_REPORT!E:E,PRODUCTION_REPORT!D:D,A142)+SUMIFS(PRODUCTION_REPORT!G:G,PRODUCTION_REPORT!F:F,A142)+SUMIFS(PRODUCTION_REPORT!I:I,PRODUCTION_REPORT!H:H,A142)+SUMIFS(PRODUCTION_REPORT!K:K,PRODUCTION_REPORT!J:J,A142)+SUMIFS(PRODUCTION_REPORT!M:M,PRODUCTION_REPORT!L:L,A142)+SUMIFS(PRODUCTION_REPORT!O:O,PRODUCTION_REPORT!N:N,A142))</f>
        <v/>
      </c>
      <c r="E142" t="str">
        <f t="shared" si="4"/>
        <v/>
      </c>
      <c r="F142" t="str">
        <f>IF(A142="","",_xludf.XLOOKUP(A142,MASTER_RAW_MATERIALS!B:B,MASTER_RAW_MATERIALS!E:E,0))</f>
        <v/>
      </c>
      <c r="G142" t="str">
        <f t="shared" si="5"/>
        <v/>
      </c>
    </row>
    <row r="143" spans="1:7" x14ac:dyDescent="0.2">
      <c r="A143" t="str">
        <f>IF(MASTER_RAW_MATERIALS!B143="","",MASTER_RAW_MATERIALS!B143)</f>
        <v/>
      </c>
      <c r="B143" t="str">
        <f>IF(A143="","",MASTER_RAW_MATERIALS!D143)</f>
        <v/>
      </c>
      <c r="C143" t="str">
        <f>IF(A143="","",SUMIFS(PURCHASES!E:E,PURCHASES!D:D,A143))</f>
        <v/>
      </c>
      <c r="D143" t="str">
        <f>IF(A143="","",SUMIFS(PRODUCTION_REPORT!E:E,PRODUCTION_REPORT!D:D,A143)+SUMIFS(PRODUCTION_REPORT!G:G,PRODUCTION_REPORT!F:F,A143)+SUMIFS(PRODUCTION_REPORT!I:I,PRODUCTION_REPORT!H:H,A143)+SUMIFS(PRODUCTION_REPORT!K:K,PRODUCTION_REPORT!J:J,A143)+SUMIFS(PRODUCTION_REPORT!M:M,PRODUCTION_REPORT!L:L,A143)+SUMIFS(PRODUCTION_REPORT!O:O,PRODUCTION_REPORT!N:N,A143))</f>
        <v/>
      </c>
      <c r="E143" t="str">
        <f t="shared" si="4"/>
        <v/>
      </c>
      <c r="F143" t="str">
        <f>IF(A143="","",_xludf.XLOOKUP(A143,MASTER_RAW_MATERIALS!B:B,MASTER_RAW_MATERIALS!E:E,0))</f>
        <v/>
      </c>
      <c r="G143" t="str">
        <f t="shared" si="5"/>
        <v/>
      </c>
    </row>
    <row r="144" spans="1:7" x14ac:dyDescent="0.2">
      <c r="A144" t="str">
        <f>IF(MASTER_RAW_MATERIALS!B144="","",MASTER_RAW_MATERIALS!B144)</f>
        <v/>
      </c>
      <c r="B144" t="str">
        <f>IF(A144="","",MASTER_RAW_MATERIALS!D144)</f>
        <v/>
      </c>
      <c r="C144" t="str">
        <f>IF(A144="","",SUMIFS(PURCHASES!E:E,PURCHASES!D:D,A144))</f>
        <v/>
      </c>
      <c r="D144" t="str">
        <f>IF(A144="","",SUMIFS(PRODUCTION_REPORT!E:E,PRODUCTION_REPORT!D:D,A144)+SUMIFS(PRODUCTION_REPORT!G:G,PRODUCTION_REPORT!F:F,A144)+SUMIFS(PRODUCTION_REPORT!I:I,PRODUCTION_REPORT!H:H,A144)+SUMIFS(PRODUCTION_REPORT!K:K,PRODUCTION_REPORT!J:J,A144)+SUMIFS(PRODUCTION_REPORT!M:M,PRODUCTION_REPORT!L:L,A144)+SUMIFS(PRODUCTION_REPORT!O:O,PRODUCTION_REPORT!N:N,A144))</f>
        <v/>
      </c>
      <c r="E144" t="str">
        <f t="shared" si="4"/>
        <v/>
      </c>
      <c r="F144" t="str">
        <f>IF(A144="","",_xludf.XLOOKUP(A144,MASTER_RAW_MATERIALS!B:B,MASTER_RAW_MATERIALS!E:E,0))</f>
        <v/>
      </c>
      <c r="G144" t="str">
        <f t="shared" si="5"/>
        <v/>
      </c>
    </row>
    <row r="145" spans="1:7" x14ac:dyDescent="0.2">
      <c r="A145" t="str">
        <f>IF(MASTER_RAW_MATERIALS!B145="","",MASTER_RAW_MATERIALS!B145)</f>
        <v/>
      </c>
      <c r="B145" t="str">
        <f>IF(A145="","",MASTER_RAW_MATERIALS!D145)</f>
        <v/>
      </c>
      <c r="C145" t="str">
        <f>IF(A145="","",SUMIFS(PURCHASES!E:E,PURCHASES!D:D,A145))</f>
        <v/>
      </c>
      <c r="D145" t="str">
        <f>IF(A145="","",SUMIFS(PRODUCTION_REPORT!E:E,PRODUCTION_REPORT!D:D,A145)+SUMIFS(PRODUCTION_REPORT!G:G,PRODUCTION_REPORT!F:F,A145)+SUMIFS(PRODUCTION_REPORT!I:I,PRODUCTION_REPORT!H:H,A145)+SUMIFS(PRODUCTION_REPORT!K:K,PRODUCTION_REPORT!J:J,A145)+SUMIFS(PRODUCTION_REPORT!M:M,PRODUCTION_REPORT!L:L,A145)+SUMIFS(PRODUCTION_REPORT!O:O,PRODUCTION_REPORT!N:N,A145))</f>
        <v/>
      </c>
      <c r="E145" t="str">
        <f t="shared" si="4"/>
        <v/>
      </c>
      <c r="F145" t="str">
        <f>IF(A145="","",_xludf.XLOOKUP(A145,MASTER_RAW_MATERIALS!B:B,MASTER_RAW_MATERIALS!E:E,0))</f>
        <v/>
      </c>
      <c r="G145" t="str">
        <f t="shared" si="5"/>
        <v/>
      </c>
    </row>
    <row r="146" spans="1:7" x14ac:dyDescent="0.2">
      <c r="A146" t="str">
        <f>IF(MASTER_RAW_MATERIALS!B146="","",MASTER_RAW_MATERIALS!B146)</f>
        <v/>
      </c>
      <c r="B146" t="str">
        <f>IF(A146="","",MASTER_RAW_MATERIALS!D146)</f>
        <v/>
      </c>
      <c r="C146" t="str">
        <f>IF(A146="","",SUMIFS(PURCHASES!E:E,PURCHASES!D:D,A146))</f>
        <v/>
      </c>
      <c r="D146" t="str">
        <f>IF(A146="","",SUMIFS(PRODUCTION_REPORT!E:E,PRODUCTION_REPORT!D:D,A146)+SUMIFS(PRODUCTION_REPORT!G:G,PRODUCTION_REPORT!F:F,A146)+SUMIFS(PRODUCTION_REPORT!I:I,PRODUCTION_REPORT!H:H,A146)+SUMIFS(PRODUCTION_REPORT!K:K,PRODUCTION_REPORT!J:J,A146)+SUMIFS(PRODUCTION_REPORT!M:M,PRODUCTION_REPORT!L:L,A146)+SUMIFS(PRODUCTION_REPORT!O:O,PRODUCTION_REPORT!N:N,A146))</f>
        <v/>
      </c>
      <c r="E146" t="str">
        <f t="shared" si="4"/>
        <v/>
      </c>
      <c r="F146" t="str">
        <f>IF(A146="","",_xludf.XLOOKUP(A146,MASTER_RAW_MATERIALS!B:B,MASTER_RAW_MATERIALS!E:E,0))</f>
        <v/>
      </c>
      <c r="G146" t="str">
        <f t="shared" si="5"/>
        <v/>
      </c>
    </row>
    <row r="147" spans="1:7" x14ac:dyDescent="0.2">
      <c r="A147" t="str">
        <f>IF(MASTER_RAW_MATERIALS!B147="","",MASTER_RAW_MATERIALS!B147)</f>
        <v/>
      </c>
      <c r="B147" t="str">
        <f>IF(A147="","",MASTER_RAW_MATERIALS!D147)</f>
        <v/>
      </c>
      <c r="C147" t="str">
        <f>IF(A147="","",SUMIFS(PURCHASES!E:E,PURCHASES!D:D,A147))</f>
        <v/>
      </c>
      <c r="D147" t="str">
        <f>IF(A147="","",SUMIFS(PRODUCTION_REPORT!E:E,PRODUCTION_REPORT!D:D,A147)+SUMIFS(PRODUCTION_REPORT!G:G,PRODUCTION_REPORT!F:F,A147)+SUMIFS(PRODUCTION_REPORT!I:I,PRODUCTION_REPORT!H:H,A147)+SUMIFS(PRODUCTION_REPORT!K:K,PRODUCTION_REPORT!J:J,A147)+SUMIFS(PRODUCTION_REPORT!M:M,PRODUCTION_REPORT!L:L,A147)+SUMIFS(PRODUCTION_REPORT!O:O,PRODUCTION_REPORT!N:N,A147))</f>
        <v/>
      </c>
      <c r="E147" t="str">
        <f t="shared" si="4"/>
        <v/>
      </c>
      <c r="F147" t="str">
        <f>IF(A147="","",_xludf.XLOOKUP(A147,MASTER_RAW_MATERIALS!B:B,MASTER_RAW_MATERIALS!E:E,0))</f>
        <v/>
      </c>
      <c r="G147" t="str">
        <f t="shared" si="5"/>
        <v/>
      </c>
    </row>
    <row r="148" spans="1:7" x14ac:dyDescent="0.2">
      <c r="A148" t="str">
        <f>IF(MASTER_RAW_MATERIALS!B148="","",MASTER_RAW_MATERIALS!B148)</f>
        <v/>
      </c>
      <c r="B148" t="str">
        <f>IF(A148="","",MASTER_RAW_MATERIALS!D148)</f>
        <v/>
      </c>
      <c r="C148" t="str">
        <f>IF(A148="","",SUMIFS(PURCHASES!E:E,PURCHASES!D:D,A148))</f>
        <v/>
      </c>
      <c r="D148" t="str">
        <f>IF(A148="","",SUMIFS(PRODUCTION_REPORT!E:E,PRODUCTION_REPORT!D:D,A148)+SUMIFS(PRODUCTION_REPORT!G:G,PRODUCTION_REPORT!F:F,A148)+SUMIFS(PRODUCTION_REPORT!I:I,PRODUCTION_REPORT!H:H,A148)+SUMIFS(PRODUCTION_REPORT!K:K,PRODUCTION_REPORT!J:J,A148)+SUMIFS(PRODUCTION_REPORT!M:M,PRODUCTION_REPORT!L:L,A148)+SUMIFS(PRODUCTION_REPORT!O:O,PRODUCTION_REPORT!N:N,A148))</f>
        <v/>
      </c>
      <c r="E148" t="str">
        <f t="shared" si="4"/>
        <v/>
      </c>
      <c r="F148" t="str">
        <f>IF(A148="","",_xludf.XLOOKUP(A148,MASTER_RAW_MATERIALS!B:B,MASTER_RAW_MATERIALS!E:E,0))</f>
        <v/>
      </c>
      <c r="G148" t="str">
        <f t="shared" si="5"/>
        <v/>
      </c>
    </row>
    <row r="149" spans="1:7" x14ac:dyDescent="0.2">
      <c r="A149" t="str">
        <f>IF(MASTER_RAW_MATERIALS!B149="","",MASTER_RAW_MATERIALS!B149)</f>
        <v/>
      </c>
      <c r="B149" t="str">
        <f>IF(A149="","",MASTER_RAW_MATERIALS!D149)</f>
        <v/>
      </c>
      <c r="C149" t="str">
        <f>IF(A149="","",SUMIFS(PURCHASES!E:E,PURCHASES!D:D,A149))</f>
        <v/>
      </c>
      <c r="D149" t="str">
        <f>IF(A149="","",SUMIFS(PRODUCTION_REPORT!E:E,PRODUCTION_REPORT!D:D,A149)+SUMIFS(PRODUCTION_REPORT!G:G,PRODUCTION_REPORT!F:F,A149)+SUMIFS(PRODUCTION_REPORT!I:I,PRODUCTION_REPORT!H:H,A149)+SUMIFS(PRODUCTION_REPORT!K:K,PRODUCTION_REPORT!J:J,A149)+SUMIFS(PRODUCTION_REPORT!M:M,PRODUCTION_REPORT!L:L,A149)+SUMIFS(PRODUCTION_REPORT!O:O,PRODUCTION_REPORT!N:N,A149))</f>
        <v/>
      </c>
      <c r="E149" t="str">
        <f t="shared" si="4"/>
        <v/>
      </c>
      <c r="F149" t="str">
        <f>IF(A149="","",_xludf.XLOOKUP(A149,MASTER_RAW_MATERIALS!B:B,MASTER_RAW_MATERIALS!E:E,0))</f>
        <v/>
      </c>
      <c r="G149" t="str">
        <f t="shared" si="5"/>
        <v/>
      </c>
    </row>
    <row r="150" spans="1:7" x14ac:dyDescent="0.2">
      <c r="A150" t="str">
        <f>IF(MASTER_RAW_MATERIALS!B150="","",MASTER_RAW_MATERIALS!B150)</f>
        <v/>
      </c>
      <c r="B150" t="str">
        <f>IF(A150="","",MASTER_RAW_MATERIALS!D150)</f>
        <v/>
      </c>
      <c r="C150" t="str">
        <f>IF(A150="","",SUMIFS(PURCHASES!E:E,PURCHASES!D:D,A150))</f>
        <v/>
      </c>
      <c r="D150" t="str">
        <f>IF(A150="","",SUMIFS(PRODUCTION_REPORT!E:E,PRODUCTION_REPORT!D:D,A150)+SUMIFS(PRODUCTION_REPORT!G:G,PRODUCTION_REPORT!F:F,A150)+SUMIFS(PRODUCTION_REPORT!I:I,PRODUCTION_REPORT!H:H,A150)+SUMIFS(PRODUCTION_REPORT!K:K,PRODUCTION_REPORT!J:J,A150)+SUMIFS(PRODUCTION_REPORT!M:M,PRODUCTION_REPORT!L:L,A150)+SUMIFS(PRODUCTION_REPORT!O:O,PRODUCTION_REPORT!N:N,A150))</f>
        <v/>
      </c>
      <c r="E150" t="str">
        <f t="shared" si="4"/>
        <v/>
      </c>
      <c r="F150" t="str">
        <f>IF(A150="","",_xludf.XLOOKUP(A150,MASTER_RAW_MATERIALS!B:B,MASTER_RAW_MATERIALS!E:E,0))</f>
        <v/>
      </c>
      <c r="G150" t="str">
        <f t="shared" si="5"/>
        <v/>
      </c>
    </row>
    <row r="151" spans="1:7" x14ac:dyDescent="0.2">
      <c r="A151" t="str">
        <f>IF(MASTER_RAW_MATERIALS!B151="","",MASTER_RAW_MATERIALS!B151)</f>
        <v/>
      </c>
      <c r="B151" t="str">
        <f>IF(A151="","",MASTER_RAW_MATERIALS!D151)</f>
        <v/>
      </c>
      <c r="C151" t="str">
        <f>IF(A151="","",SUMIFS(PURCHASES!E:E,PURCHASES!D:D,A151))</f>
        <v/>
      </c>
      <c r="D151" t="str">
        <f>IF(A151="","",SUMIFS(PRODUCTION_REPORT!E:E,PRODUCTION_REPORT!D:D,A151)+SUMIFS(PRODUCTION_REPORT!G:G,PRODUCTION_REPORT!F:F,A151)+SUMIFS(PRODUCTION_REPORT!I:I,PRODUCTION_REPORT!H:H,A151)+SUMIFS(PRODUCTION_REPORT!K:K,PRODUCTION_REPORT!J:J,A151)+SUMIFS(PRODUCTION_REPORT!M:M,PRODUCTION_REPORT!L:L,A151)+SUMIFS(PRODUCTION_REPORT!O:O,PRODUCTION_REPORT!N:N,A151))</f>
        <v/>
      </c>
      <c r="E151" t="str">
        <f t="shared" si="4"/>
        <v/>
      </c>
      <c r="F151" t="str">
        <f>IF(A151="","",_xludf.XLOOKUP(A151,MASTER_RAW_MATERIALS!B:B,MASTER_RAW_MATERIALS!E:E,0))</f>
        <v/>
      </c>
      <c r="G151" t="str">
        <f t="shared" si="5"/>
        <v/>
      </c>
    </row>
    <row r="152" spans="1:7" x14ac:dyDescent="0.2">
      <c r="A152" t="str">
        <f>IF(MASTER_RAW_MATERIALS!B152="","",MASTER_RAW_MATERIALS!B152)</f>
        <v/>
      </c>
      <c r="B152" t="str">
        <f>IF(A152="","",MASTER_RAW_MATERIALS!D152)</f>
        <v/>
      </c>
      <c r="C152" t="str">
        <f>IF(A152="","",SUMIFS(PURCHASES!E:E,PURCHASES!D:D,A152))</f>
        <v/>
      </c>
      <c r="D152" t="str">
        <f>IF(A152="","",SUMIFS(PRODUCTION_REPORT!E:E,PRODUCTION_REPORT!D:D,A152)+SUMIFS(PRODUCTION_REPORT!G:G,PRODUCTION_REPORT!F:F,A152)+SUMIFS(PRODUCTION_REPORT!I:I,PRODUCTION_REPORT!H:H,A152)+SUMIFS(PRODUCTION_REPORT!K:K,PRODUCTION_REPORT!J:J,A152)+SUMIFS(PRODUCTION_REPORT!M:M,PRODUCTION_REPORT!L:L,A152)+SUMIFS(PRODUCTION_REPORT!O:O,PRODUCTION_REPORT!N:N,A152))</f>
        <v/>
      </c>
      <c r="E152" t="str">
        <f t="shared" si="4"/>
        <v/>
      </c>
      <c r="F152" t="str">
        <f>IF(A152="","",_xludf.XLOOKUP(A152,MASTER_RAW_MATERIALS!B:B,MASTER_RAW_MATERIALS!E:E,0))</f>
        <v/>
      </c>
      <c r="G152" t="str">
        <f t="shared" si="5"/>
        <v/>
      </c>
    </row>
    <row r="153" spans="1:7" x14ac:dyDescent="0.2">
      <c r="A153" t="str">
        <f>IF(MASTER_RAW_MATERIALS!B153="","",MASTER_RAW_MATERIALS!B153)</f>
        <v/>
      </c>
      <c r="B153" t="str">
        <f>IF(A153="","",MASTER_RAW_MATERIALS!D153)</f>
        <v/>
      </c>
      <c r="C153" t="str">
        <f>IF(A153="","",SUMIFS(PURCHASES!E:E,PURCHASES!D:D,A153))</f>
        <v/>
      </c>
      <c r="D153" t="str">
        <f>IF(A153="","",SUMIFS(PRODUCTION_REPORT!E:E,PRODUCTION_REPORT!D:D,A153)+SUMIFS(PRODUCTION_REPORT!G:G,PRODUCTION_REPORT!F:F,A153)+SUMIFS(PRODUCTION_REPORT!I:I,PRODUCTION_REPORT!H:H,A153)+SUMIFS(PRODUCTION_REPORT!K:K,PRODUCTION_REPORT!J:J,A153)+SUMIFS(PRODUCTION_REPORT!M:M,PRODUCTION_REPORT!L:L,A153)+SUMIFS(PRODUCTION_REPORT!O:O,PRODUCTION_REPORT!N:N,A153))</f>
        <v/>
      </c>
      <c r="E153" t="str">
        <f t="shared" si="4"/>
        <v/>
      </c>
      <c r="F153" t="str">
        <f>IF(A153="","",_xludf.XLOOKUP(A153,MASTER_RAW_MATERIALS!B:B,MASTER_RAW_MATERIALS!E:E,0))</f>
        <v/>
      </c>
      <c r="G153" t="str">
        <f t="shared" si="5"/>
        <v/>
      </c>
    </row>
    <row r="154" spans="1:7" x14ac:dyDescent="0.2">
      <c r="A154" t="str">
        <f>IF(MASTER_RAW_MATERIALS!B154="","",MASTER_RAW_MATERIALS!B154)</f>
        <v/>
      </c>
      <c r="B154" t="str">
        <f>IF(A154="","",MASTER_RAW_MATERIALS!D154)</f>
        <v/>
      </c>
      <c r="C154" t="str">
        <f>IF(A154="","",SUMIFS(PURCHASES!E:E,PURCHASES!D:D,A154))</f>
        <v/>
      </c>
      <c r="D154" t="str">
        <f>IF(A154="","",SUMIFS(PRODUCTION_REPORT!E:E,PRODUCTION_REPORT!D:D,A154)+SUMIFS(PRODUCTION_REPORT!G:G,PRODUCTION_REPORT!F:F,A154)+SUMIFS(PRODUCTION_REPORT!I:I,PRODUCTION_REPORT!H:H,A154)+SUMIFS(PRODUCTION_REPORT!K:K,PRODUCTION_REPORT!J:J,A154)+SUMIFS(PRODUCTION_REPORT!M:M,PRODUCTION_REPORT!L:L,A154)+SUMIFS(PRODUCTION_REPORT!O:O,PRODUCTION_REPORT!N:N,A154))</f>
        <v/>
      </c>
      <c r="E154" t="str">
        <f t="shared" si="4"/>
        <v/>
      </c>
      <c r="F154" t="str">
        <f>IF(A154="","",_xludf.XLOOKUP(A154,MASTER_RAW_MATERIALS!B:B,MASTER_RAW_MATERIALS!E:E,0))</f>
        <v/>
      </c>
      <c r="G154" t="str">
        <f t="shared" si="5"/>
        <v/>
      </c>
    </row>
    <row r="155" spans="1:7" x14ac:dyDescent="0.2">
      <c r="A155" t="str">
        <f>IF(MASTER_RAW_MATERIALS!B155="","",MASTER_RAW_MATERIALS!B155)</f>
        <v/>
      </c>
      <c r="B155" t="str">
        <f>IF(A155="","",MASTER_RAW_MATERIALS!D155)</f>
        <v/>
      </c>
      <c r="C155" t="str">
        <f>IF(A155="","",SUMIFS(PURCHASES!E:E,PURCHASES!D:D,A155))</f>
        <v/>
      </c>
      <c r="D155" t="str">
        <f>IF(A155="","",SUMIFS(PRODUCTION_REPORT!E:E,PRODUCTION_REPORT!D:D,A155)+SUMIFS(PRODUCTION_REPORT!G:G,PRODUCTION_REPORT!F:F,A155)+SUMIFS(PRODUCTION_REPORT!I:I,PRODUCTION_REPORT!H:H,A155)+SUMIFS(PRODUCTION_REPORT!K:K,PRODUCTION_REPORT!J:J,A155)+SUMIFS(PRODUCTION_REPORT!M:M,PRODUCTION_REPORT!L:L,A155)+SUMIFS(PRODUCTION_REPORT!O:O,PRODUCTION_REPORT!N:N,A155))</f>
        <v/>
      </c>
      <c r="E155" t="str">
        <f t="shared" si="4"/>
        <v/>
      </c>
      <c r="F155" t="str">
        <f>IF(A155="","",_xludf.XLOOKUP(A155,MASTER_RAW_MATERIALS!B:B,MASTER_RAW_MATERIALS!E:E,0))</f>
        <v/>
      </c>
      <c r="G155" t="str">
        <f t="shared" si="5"/>
        <v/>
      </c>
    </row>
    <row r="156" spans="1:7" x14ac:dyDescent="0.2">
      <c r="A156" t="str">
        <f>IF(MASTER_RAW_MATERIALS!B156="","",MASTER_RAW_MATERIALS!B156)</f>
        <v/>
      </c>
      <c r="B156" t="str">
        <f>IF(A156="","",MASTER_RAW_MATERIALS!D156)</f>
        <v/>
      </c>
      <c r="C156" t="str">
        <f>IF(A156="","",SUMIFS(PURCHASES!E:E,PURCHASES!D:D,A156))</f>
        <v/>
      </c>
      <c r="D156" t="str">
        <f>IF(A156="","",SUMIFS(PRODUCTION_REPORT!E:E,PRODUCTION_REPORT!D:D,A156)+SUMIFS(PRODUCTION_REPORT!G:G,PRODUCTION_REPORT!F:F,A156)+SUMIFS(PRODUCTION_REPORT!I:I,PRODUCTION_REPORT!H:H,A156)+SUMIFS(PRODUCTION_REPORT!K:K,PRODUCTION_REPORT!J:J,A156)+SUMIFS(PRODUCTION_REPORT!M:M,PRODUCTION_REPORT!L:L,A156)+SUMIFS(PRODUCTION_REPORT!O:O,PRODUCTION_REPORT!N:N,A156))</f>
        <v/>
      </c>
      <c r="E156" t="str">
        <f t="shared" si="4"/>
        <v/>
      </c>
      <c r="F156" t="str">
        <f>IF(A156="","",_xludf.XLOOKUP(A156,MASTER_RAW_MATERIALS!B:B,MASTER_RAW_MATERIALS!E:E,0))</f>
        <v/>
      </c>
      <c r="G156" t="str">
        <f t="shared" si="5"/>
        <v/>
      </c>
    </row>
    <row r="157" spans="1:7" x14ac:dyDescent="0.2">
      <c r="A157" t="str">
        <f>IF(MASTER_RAW_MATERIALS!B157="","",MASTER_RAW_MATERIALS!B157)</f>
        <v/>
      </c>
      <c r="B157" t="str">
        <f>IF(A157="","",MASTER_RAW_MATERIALS!D157)</f>
        <v/>
      </c>
      <c r="C157" t="str">
        <f>IF(A157="","",SUMIFS(PURCHASES!E:E,PURCHASES!D:D,A157))</f>
        <v/>
      </c>
      <c r="D157" t="str">
        <f>IF(A157="","",SUMIFS(PRODUCTION_REPORT!E:E,PRODUCTION_REPORT!D:D,A157)+SUMIFS(PRODUCTION_REPORT!G:G,PRODUCTION_REPORT!F:F,A157)+SUMIFS(PRODUCTION_REPORT!I:I,PRODUCTION_REPORT!H:H,A157)+SUMIFS(PRODUCTION_REPORT!K:K,PRODUCTION_REPORT!J:J,A157)+SUMIFS(PRODUCTION_REPORT!M:M,PRODUCTION_REPORT!L:L,A157)+SUMIFS(PRODUCTION_REPORT!O:O,PRODUCTION_REPORT!N:N,A157))</f>
        <v/>
      </c>
      <c r="E157" t="str">
        <f t="shared" si="4"/>
        <v/>
      </c>
      <c r="F157" t="str">
        <f>IF(A157="","",_xludf.XLOOKUP(A157,MASTER_RAW_MATERIALS!B:B,MASTER_RAW_MATERIALS!E:E,0))</f>
        <v/>
      </c>
      <c r="G157" t="str">
        <f t="shared" si="5"/>
        <v/>
      </c>
    </row>
    <row r="158" spans="1:7" x14ac:dyDescent="0.2">
      <c r="A158" t="str">
        <f>IF(MASTER_RAW_MATERIALS!B158="","",MASTER_RAW_MATERIALS!B158)</f>
        <v/>
      </c>
      <c r="B158" t="str">
        <f>IF(A158="","",MASTER_RAW_MATERIALS!D158)</f>
        <v/>
      </c>
      <c r="C158" t="str">
        <f>IF(A158="","",SUMIFS(PURCHASES!E:E,PURCHASES!D:D,A158))</f>
        <v/>
      </c>
      <c r="D158" t="str">
        <f>IF(A158="","",SUMIFS(PRODUCTION_REPORT!E:E,PRODUCTION_REPORT!D:D,A158)+SUMIFS(PRODUCTION_REPORT!G:G,PRODUCTION_REPORT!F:F,A158)+SUMIFS(PRODUCTION_REPORT!I:I,PRODUCTION_REPORT!H:H,A158)+SUMIFS(PRODUCTION_REPORT!K:K,PRODUCTION_REPORT!J:J,A158)+SUMIFS(PRODUCTION_REPORT!M:M,PRODUCTION_REPORT!L:L,A158)+SUMIFS(PRODUCTION_REPORT!O:O,PRODUCTION_REPORT!N:N,A158))</f>
        <v/>
      </c>
      <c r="E158" t="str">
        <f t="shared" si="4"/>
        <v/>
      </c>
      <c r="F158" t="str">
        <f>IF(A158="","",_xludf.XLOOKUP(A158,MASTER_RAW_MATERIALS!B:B,MASTER_RAW_MATERIALS!E:E,0))</f>
        <v/>
      </c>
      <c r="G158" t="str">
        <f t="shared" si="5"/>
        <v/>
      </c>
    </row>
    <row r="159" spans="1:7" x14ac:dyDescent="0.2">
      <c r="A159" t="str">
        <f>IF(MASTER_RAW_MATERIALS!B159="","",MASTER_RAW_MATERIALS!B159)</f>
        <v/>
      </c>
      <c r="B159" t="str">
        <f>IF(A159="","",MASTER_RAW_MATERIALS!D159)</f>
        <v/>
      </c>
      <c r="C159" t="str">
        <f>IF(A159="","",SUMIFS(PURCHASES!E:E,PURCHASES!D:D,A159))</f>
        <v/>
      </c>
      <c r="D159" t="str">
        <f>IF(A159="","",SUMIFS(PRODUCTION_REPORT!E:E,PRODUCTION_REPORT!D:D,A159)+SUMIFS(PRODUCTION_REPORT!G:G,PRODUCTION_REPORT!F:F,A159)+SUMIFS(PRODUCTION_REPORT!I:I,PRODUCTION_REPORT!H:H,A159)+SUMIFS(PRODUCTION_REPORT!K:K,PRODUCTION_REPORT!J:J,A159)+SUMIFS(PRODUCTION_REPORT!M:M,PRODUCTION_REPORT!L:L,A159)+SUMIFS(PRODUCTION_REPORT!O:O,PRODUCTION_REPORT!N:N,A159))</f>
        <v/>
      </c>
      <c r="E159" t="str">
        <f t="shared" si="4"/>
        <v/>
      </c>
      <c r="F159" t="str">
        <f>IF(A159="","",_xludf.XLOOKUP(A159,MASTER_RAW_MATERIALS!B:B,MASTER_RAW_MATERIALS!E:E,0))</f>
        <v/>
      </c>
      <c r="G159" t="str">
        <f t="shared" si="5"/>
        <v/>
      </c>
    </row>
    <row r="160" spans="1:7" x14ac:dyDescent="0.2">
      <c r="A160" t="str">
        <f>IF(MASTER_RAW_MATERIALS!B160="","",MASTER_RAW_MATERIALS!B160)</f>
        <v/>
      </c>
      <c r="B160" t="str">
        <f>IF(A160="","",MASTER_RAW_MATERIALS!D160)</f>
        <v/>
      </c>
      <c r="C160" t="str">
        <f>IF(A160="","",SUMIFS(PURCHASES!E:E,PURCHASES!D:D,A160))</f>
        <v/>
      </c>
      <c r="D160" t="str">
        <f>IF(A160="","",SUMIFS(PRODUCTION_REPORT!E:E,PRODUCTION_REPORT!D:D,A160)+SUMIFS(PRODUCTION_REPORT!G:G,PRODUCTION_REPORT!F:F,A160)+SUMIFS(PRODUCTION_REPORT!I:I,PRODUCTION_REPORT!H:H,A160)+SUMIFS(PRODUCTION_REPORT!K:K,PRODUCTION_REPORT!J:J,A160)+SUMIFS(PRODUCTION_REPORT!M:M,PRODUCTION_REPORT!L:L,A160)+SUMIFS(PRODUCTION_REPORT!O:O,PRODUCTION_REPORT!N:N,A160))</f>
        <v/>
      </c>
      <c r="E160" t="str">
        <f t="shared" si="4"/>
        <v/>
      </c>
      <c r="F160" t="str">
        <f>IF(A160="","",_xludf.XLOOKUP(A160,MASTER_RAW_MATERIALS!B:B,MASTER_RAW_MATERIALS!E:E,0))</f>
        <v/>
      </c>
      <c r="G160" t="str">
        <f t="shared" si="5"/>
        <v/>
      </c>
    </row>
    <row r="161" spans="1:7" x14ac:dyDescent="0.2">
      <c r="A161" t="str">
        <f>IF(MASTER_RAW_MATERIALS!B161="","",MASTER_RAW_MATERIALS!B161)</f>
        <v/>
      </c>
      <c r="B161" t="str">
        <f>IF(A161="","",MASTER_RAW_MATERIALS!D161)</f>
        <v/>
      </c>
      <c r="C161" t="str">
        <f>IF(A161="","",SUMIFS(PURCHASES!E:E,PURCHASES!D:D,A161))</f>
        <v/>
      </c>
      <c r="D161" t="str">
        <f>IF(A161="","",SUMIFS(PRODUCTION_REPORT!E:E,PRODUCTION_REPORT!D:D,A161)+SUMIFS(PRODUCTION_REPORT!G:G,PRODUCTION_REPORT!F:F,A161)+SUMIFS(PRODUCTION_REPORT!I:I,PRODUCTION_REPORT!H:H,A161)+SUMIFS(PRODUCTION_REPORT!K:K,PRODUCTION_REPORT!J:J,A161)+SUMIFS(PRODUCTION_REPORT!M:M,PRODUCTION_REPORT!L:L,A161)+SUMIFS(PRODUCTION_REPORT!O:O,PRODUCTION_REPORT!N:N,A161))</f>
        <v/>
      </c>
      <c r="E161" t="str">
        <f t="shared" si="4"/>
        <v/>
      </c>
      <c r="F161" t="str">
        <f>IF(A161="","",_xludf.XLOOKUP(A161,MASTER_RAW_MATERIALS!B:B,MASTER_RAW_MATERIALS!E:E,0))</f>
        <v/>
      </c>
      <c r="G161" t="str">
        <f t="shared" si="5"/>
        <v/>
      </c>
    </row>
    <row r="162" spans="1:7" x14ac:dyDescent="0.2">
      <c r="A162" t="str">
        <f>IF(MASTER_RAW_MATERIALS!B162="","",MASTER_RAW_MATERIALS!B162)</f>
        <v/>
      </c>
      <c r="B162" t="str">
        <f>IF(A162="","",MASTER_RAW_MATERIALS!D162)</f>
        <v/>
      </c>
      <c r="C162" t="str">
        <f>IF(A162="","",SUMIFS(PURCHASES!E:E,PURCHASES!D:D,A162))</f>
        <v/>
      </c>
      <c r="D162" t="str">
        <f>IF(A162="","",SUMIFS(PRODUCTION_REPORT!E:E,PRODUCTION_REPORT!D:D,A162)+SUMIFS(PRODUCTION_REPORT!G:G,PRODUCTION_REPORT!F:F,A162)+SUMIFS(PRODUCTION_REPORT!I:I,PRODUCTION_REPORT!H:H,A162)+SUMIFS(PRODUCTION_REPORT!K:K,PRODUCTION_REPORT!J:J,A162)+SUMIFS(PRODUCTION_REPORT!M:M,PRODUCTION_REPORT!L:L,A162)+SUMIFS(PRODUCTION_REPORT!O:O,PRODUCTION_REPORT!N:N,A162))</f>
        <v/>
      </c>
      <c r="E162" t="str">
        <f t="shared" si="4"/>
        <v/>
      </c>
      <c r="F162" t="str">
        <f>IF(A162="","",_xludf.XLOOKUP(A162,MASTER_RAW_MATERIALS!B:B,MASTER_RAW_MATERIALS!E:E,0))</f>
        <v/>
      </c>
      <c r="G162" t="str">
        <f t="shared" si="5"/>
        <v/>
      </c>
    </row>
    <row r="163" spans="1:7" x14ac:dyDescent="0.2">
      <c r="A163" t="str">
        <f>IF(MASTER_RAW_MATERIALS!B163="","",MASTER_RAW_MATERIALS!B163)</f>
        <v/>
      </c>
      <c r="B163" t="str">
        <f>IF(A163="","",MASTER_RAW_MATERIALS!D163)</f>
        <v/>
      </c>
      <c r="C163" t="str">
        <f>IF(A163="","",SUMIFS(PURCHASES!E:E,PURCHASES!D:D,A163))</f>
        <v/>
      </c>
      <c r="D163" t="str">
        <f>IF(A163="","",SUMIFS(PRODUCTION_REPORT!E:E,PRODUCTION_REPORT!D:D,A163)+SUMIFS(PRODUCTION_REPORT!G:G,PRODUCTION_REPORT!F:F,A163)+SUMIFS(PRODUCTION_REPORT!I:I,PRODUCTION_REPORT!H:H,A163)+SUMIFS(PRODUCTION_REPORT!K:K,PRODUCTION_REPORT!J:J,A163)+SUMIFS(PRODUCTION_REPORT!M:M,PRODUCTION_REPORT!L:L,A163)+SUMIFS(PRODUCTION_REPORT!O:O,PRODUCTION_REPORT!N:N,A163))</f>
        <v/>
      </c>
      <c r="E163" t="str">
        <f t="shared" si="4"/>
        <v/>
      </c>
      <c r="F163" t="str">
        <f>IF(A163="","",_xludf.XLOOKUP(A163,MASTER_RAW_MATERIALS!B:B,MASTER_RAW_MATERIALS!E:E,0))</f>
        <v/>
      </c>
      <c r="G163" t="str">
        <f t="shared" si="5"/>
        <v/>
      </c>
    </row>
    <row r="164" spans="1:7" x14ac:dyDescent="0.2">
      <c r="A164" t="str">
        <f>IF(MASTER_RAW_MATERIALS!B164="","",MASTER_RAW_MATERIALS!B164)</f>
        <v/>
      </c>
      <c r="B164" t="str">
        <f>IF(A164="","",MASTER_RAW_MATERIALS!D164)</f>
        <v/>
      </c>
      <c r="C164" t="str">
        <f>IF(A164="","",SUMIFS(PURCHASES!E:E,PURCHASES!D:D,A164))</f>
        <v/>
      </c>
      <c r="D164" t="str">
        <f>IF(A164="","",SUMIFS(PRODUCTION_REPORT!E:E,PRODUCTION_REPORT!D:D,A164)+SUMIFS(PRODUCTION_REPORT!G:G,PRODUCTION_REPORT!F:F,A164)+SUMIFS(PRODUCTION_REPORT!I:I,PRODUCTION_REPORT!H:H,A164)+SUMIFS(PRODUCTION_REPORT!K:K,PRODUCTION_REPORT!J:J,A164)+SUMIFS(PRODUCTION_REPORT!M:M,PRODUCTION_REPORT!L:L,A164)+SUMIFS(PRODUCTION_REPORT!O:O,PRODUCTION_REPORT!N:N,A164))</f>
        <v/>
      </c>
      <c r="E164" t="str">
        <f t="shared" si="4"/>
        <v/>
      </c>
      <c r="F164" t="str">
        <f>IF(A164="","",_xludf.XLOOKUP(A164,MASTER_RAW_MATERIALS!B:B,MASTER_RAW_MATERIALS!E:E,0))</f>
        <v/>
      </c>
      <c r="G164" t="str">
        <f t="shared" si="5"/>
        <v/>
      </c>
    </row>
    <row r="165" spans="1:7" x14ac:dyDescent="0.2">
      <c r="A165" t="str">
        <f>IF(MASTER_RAW_MATERIALS!B165="","",MASTER_RAW_MATERIALS!B165)</f>
        <v/>
      </c>
      <c r="B165" t="str">
        <f>IF(A165="","",MASTER_RAW_MATERIALS!D165)</f>
        <v/>
      </c>
      <c r="C165" t="str">
        <f>IF(A165="","",SUMIFS(PURCHASES!E:E,PURCHASES!D:D,A165))</f>
        <v/>
      </c>
      <c r="D165" t="str">
        <f>IF(A165="","",SUMIFS(PRODUCTION_REPORT!E:E,PRODUCTION_REPORT!D:D,A165)+SUMIFS(PRODUCTION_REPORT!G:G,PRODUCTION_REPORT!F:F,A165)+SUMIFS(PRODUCTION_REPORT!I:I,PRODUCTION_REPORT!H:H,A165)+SUMIFS(PRODUCTION_REPORT!K:K,PRODUCTION_REPORT!J:J,A165)+SUMIFS(PRODUCTION_REPORT!M:M,PRODUCTION_REPORT!L:L,A165)+SUMIFS(PRODUCTION_REPORT!O:O,PRODUCTION_REPORT!N:N,A165))</f>
        <v/>
      </c>
      <c r="E165" t="str">
        <f t="shared" si="4"/>
        <v/>
      </c>
      <c r="F165" t="str">
        <f>IF(A165="","",_xludf.XLOOKUP(A165,MASTER_RAW_MATERIALS!B:B,MASTER_RAW_MATERIALS!E:E,0))</f>
        <v/>
      </c>
      <c r="G165" t="str">
        <f t="shared" si="5"/>
        <v/>
      </c>
    </row>
    <row r="166" spans="1:7" x14ac:dyDescent="0.2">
      <c r="A166" t="str">
        <f>IF(MASTER_RAW_MATERIALS!B166="","",MASTER_RAW_MATERIALS!B166)</f>
        <v/>
      </c>
      <c r="B166" t="str">
        <f>IF(A166="","",MASTER_RAW_MATERIALS!D166)</f>
        <v/>
      </c>
      <c r="C166" t="str">
        <f>IF(A166="","",SUMIFS(PURCHASES!E:E,PURCHASES!D:D,A166))</f>
        <v/>
      </c>
      <c r="D166" t="str">
        <f>IF(A166="","",SUMIFS(PRODUCTION_REPORT!E:E,PRODUCTION_REPORT!D:D,A166)+SUMIFS(PRODUCTION_REPORT!G:G,PRODUCTION_REPORT!F:F,A166)+SUMIFS(PRODUCTION_REPORT!I:I,PRODUCTION_REPORT!H:H,A166)+SUMIFS(PRODUCTION_REPORT!K:K,PRODUCTION_REPORT!J:J,A166)+SUMIFS(PRODUCTION_REPORT!M:M,PRODUCTION_REPORT!L:L,A166)+SUMIFS(PRODUCTION_REPORT!O:O,PRODUCTION_REPORT!N:N,A166))</f>
        <v/>
      </c>
      <c r="E166" t="str">
        <f t="shared" si="4"/>
        <v/>
      </c>
      <c r="F166" t="str">
        <f>IF(A166="","",_xludf.XLOOKUP(A166,MASTER_RAW_MATERIALS!B:B,MASTER_RAW_MATERIALS!E:E,0))</f>
        <v/>
      </c>
      <c r="G166" t="str">
        <f t="shared" si="5"/>
        <v/>
      </c>
    </row>
    <row r="167" spans="1:7" x14ac:dyDescent="0.2">
      <c r="A167" t="str">
        <f>IF(MASTER_RAW_MATERIALS!B167="","",MASTER_RAW_MATERIALS!B167)</f>
        <v/>
      </c>
      <c r="B167" t="str">
        <f>IF(A167="","",MASTER_RAW_MATERIALS!D167)</f>
        <v/>
      </c>
      <c r="C167" t="str">
        <f>IF(A167="","",SUMIFS(PURCHASES!E:E,PURCHASES!D:D,A167))</f>
        <v/>
      </c>
      <c r="D167" t="str">
        <f>IF(A167="","",SUMIFS(PRODUCTION_REPORT!E:E,PRODUCTION_REPORT!D:D,A167)+SUMIFS(PRODUCTION_REPORT!G:G,PRODUCTION_REPORT!F:F,A167)+SUMIFS(PRODUCTION_REPORT!I:I,PRODUCTION_REPORT!H:H,A167)+SUMIFS(PRODUCTION_REPORT!K:K,PRODUCTION_REPORT!J:J,A167)+SUMIFS(PRODUCTION_REPORT!M:M,PRODUCTION_REPORT!L:L,A167)+SUMIFS(PRODUCTION_REPORT!O:O,PRODUCTION_REPORT!N:N,A167))</f>
        <v/>
      </c>
      <c r="E167" t="str">
        <f t="shared" si="4"/>
        <v/>
      </c>
      <c r="F167" t="str">
        <f>IF(A167="","",_xludf.XLOOKUP(A167,MASTER_RAW_MATERIALS!B:B,MASTER_RAW_MATERIALS!E:E,0))</f>
        <v/>
      </c>
      <c r="G167" t="str">
        <f t="shared" si="5"/>
        <v/>
      </c>
    </row>
    <row r="168" spans="1:7" x14ac:dyDescent="0.2">
      <c r="A168" t="str">
        <f>IF(MASTER_RAW_MATERIALS!B168="","",MASTER_RAW_MATERIALS!B168)</f>
        <v/>
      </c>
      <c r="B168" t="str">
        <f>IF(A168="","",MASTER_RAW_MATERIALS!D168)</f>
        <v/>
      </c>
      <c r="C168" t="str">
        <f>IF(A168="","",SUMIFS(PURCHASES!E:E,PURCHASES!D:D,A168))</f>
        <v/>
      </c>
      <c r="D168" t="str">
        <f>IF(A168="","",SUMIFS(PRODUCTION_REPORT!E:E,PRODUCTION_REPORT!D:D,A168)+SUMIFS(PRODUCTION_REPORT!G:G,PRODUCTION_REPORT!F:F,A168)+SUMIFS(PRODUCTION_REPORT!I:I,PRODUCTION_REPORT!H:H,A168)+SUMIFS(PRODUCTION_REPORT!K:K,PRODUCTION_REPORT!J:J,A168)+SUMIFS(PRODUCTION_REPORT!M:M,PRODUCTION_REPORT!L:L,A168)+SUMIFS(PRODUCTION_REPORT!O:O,PRODUCTION_REPORT!N:N,A168))</f>
        <v/>
      </c>
      <c r="E168" t="str">
        <f t="shared" si="4"/>
        <v/>
      </c>
      <c r="F168" t="str">
        <f>IF(A168="","",_xludf.XLOOKUP(A168,MASTER_RAW_MATERIALS!B:B,MASTER_RAW_MATERIALS!E:E,0))</f>
        <v/>
      </c>
      <c r="G168" t="str">
        <f t="shared" si="5"/>
        <v/>
      </c>
    </row>
    <row r="169" spans="1:7" x14ac:dyDescent="0.2">
      <c r="A169" t="str">
        <f>IF(MASTER_RAW_MATERIALS!B169="","",MASTER_RAW_MATERIALS!B169)</f>
        <v/>
      </c>
      <c r="B169" t="str">
        <f>IF(A169="","",MASTER_RAW_MATERIALS!D169)</f>
        <v/>
      </c>
      <c r="C169" t="str">
        <f>IF(A169="","",SUMIFS(PURCHASES!E:E,PURCHASES!D:D,A169))</f>
        <v/>
      </c>
      <c r="D169" t="str">
        <f>IF(A169="","",SUMIFS(PRODUCTION_REPORT!E:E,PRODUCTION_REPORT!D:D,A169)+SUMIFS(PRODUCTION_REPORT!G:G,PRODUCTION_REPORT!F:F,A169)+SUMIFS(PRODUCTION_REPORT!I:I,PRODUCTION_REPORT!H:H,A169)+SUMIFS(PRODUCTION_REPORT!K:K,PRODUCTION_REPORT!J:J,A169)+SUMIFS(PRODUCTION_REPORT!M:M,PRODUCTION_REPORT!L:L,A169)+SUMIFS(PRODUCTION_REPORT!O:O,PRODUCTION_REPORT!N:N,A169))</f>
        <v/>
      </c>
      <c r="E169" t="str">
        <f t="shared" si="4"/>
        <v/>
      </c>
      <c r="F169" t="str">
        <f>IF(A169="","",_xludf.XLOOKUP(A169,MASTER_RAW_MATERIALS!B:B,MASTER_RAW_MATERIALS!E:E,0))</f>
        <v/>
      </c>
      <c r="G169" t="str">
        <f t="shared" si="5"/>
        <v/>
      </c>
    </row>
    <row r="170" spans="1:7" x14ac:dyDescent="0.2">
      <c r="A170" t="str">
        <f>IF(MASTER_RAW_MATERIALS!B170="","",MASTER_RAW_MATERIALS!B170)</f>
        <v/>
      </c>
      <c r="B170" t="str">
        <f>IF(A170="","",MASTER_RAW_MATERIALS!D170)</f>
        <v/>
      </c>
      <c r="C170" t="str">
        <f>IF(A170="","",SUMIFS(PURCHASES!E:E,PURCHASES!D:D,A170))</f>
        <v/>
      </c>
      <c r="D170" t="str">
        <f>IF(A170="","",SUMIFS(PRODUCTION_REPORT!E:E,PRODUCTION_REPORT!D:D,A170)+SUMIFS(PRODUCTION_REPORT!G:G,PRODUCTION_REPORT!F:F,A170)+SUMIFS(PRODUCTION_REPORT!I:I,PRODUCTION_REPORT!H:H,A170)+SUMIFS(PRODUCTION_REPORT!K:K,PRODUCTION_REPORT!J:J,A170)+SUMIFS(PRODUCTION_REPORT!M:M,PRODUCTION_REPORT!L:L,A170)+SUMIFS(PRODUCTION_REPORT!O:O,PRODUCTION_REPORT!N:N,A170))</f>
        <v/>
      </c>
      <c r="E170" t="str">
        <f t="shared" si="4"/>
        <v/>
      </c>
      <c r="F170" t="str">
        <f>IF(A170="","",_xludf.XLOOKUP(A170,MASTER_RAW_MATERIALS!B:B,MASTER_RAW_MATERIALS!E:E,0))</f>
        <v/>
      </c>
      <c r="G170" t="str">
        <f t="shared" si="5"/>
        <v/>
      </c>
    </row>
    <row r="171" spans="1:7" x14ac:dyDescent="0.2">
      <c r="A171" t="str">
        <f>IF(MASTER_RAW_MATERIALS!B171="","",MASTER_RAW_MATERIALS!B171)</f>
        <v/>
      </c>
      <c r="B171" t="str">
        <f>IF(A171="","",MASTER_RAW_MATERIALS!D171)</f>
        <v/>
      </c>
      <c r="C171" t="str">
        <f>IF(A171="","",SUMIFS(PURCHASES!E:E,PURCHASES!D:D,A171))</f>
        <v/>
      </c>
      <c r="D171" t="str">
        <f>IF(A171="","",SUMIFS(PRODUCTION_REPORT!E:E,PRODUCTION_REPORT!D:D,A171)+SUMIFS(PRODUCTION_REPORT!G:G,PRODUCTION_REPORT!F:F,A171)+SUMIFS(PRODUCTION_REPORT!I:I,PRODUCTION_REPORT!H:H,A171)+SUMIFS(PRODUCTION_REPORT!K:K,PRODUCTION_REPORT!J:J,A171)+SUMIFS(PRODUCTION_REPORT!M:M,PRODUCTION_REPORT!L:L,A171)+SUMIFS(PRODUCTION_REPORT!O:O,PRODUCTION_REPORT!N:N,A171))</f>
        <v/>
      </c>
      <c r="E171" t="str">
        <f t="shared" si="4"/>
        <v/>
      </c>
      <c r="F171" t="str">
        <f>IF(A171="","",_xludf.XLOOKUP(A171,MASTER_RAW_MATERIALS!B:B,MASTER_RAW_MATERIALS!E:E,0))</f>
        <v/>
      </c>
      <c r="G171" t="str">
        <f t="shared" si="5"/>
        <v/>
      </c>
    </row>
    <row r="172" spans="1:7" x14ac:dyDescent="0.2">
      <c r="A172" t="str">
        <f>IF(MASTER_RAW_MATERIALS!B172="","",MASTER_RAW_MATERIALS!B172)</f>
        <v/>
      </c>
      <c r="B172" t="str">
        <f>IF(A172="","",MASTER_RAW_MATERIALS!D172)</f>
        <v/>
      </c>
      <c r="C172" t="str">
        <f>IF(A172="","",SUMIFS(PURCHASES!E:E,PURCHASES!D:D,A172))</f>
        <v/>
      </c>
      <c r="D172" t="str">
        <f>IF(A172="","",SUMIFS(PRODUCTION_REPORT!E:E,PRODUCTION_REPORT!D:D,A172)+SUMIFS(PRODUCTION_REPORT!G:G,PRODUCTION_REPORT!F:F,A172)+SUMIFS(PRODUCTION_REPORT!I:I,PRODUCTION_REPORT!H:H,A172)+SUMIFS(PRODUCTION_REPORT!K:K,PRODUCTION_REPORT!J:J,A172)+SUMIFS(PRODUCTION_REPORT!M:M,PRODUCTION_REPORT!L:L,A172)+SUMIFS(PRODUCTION_REPORT!O:O,PRODUCTION_REPORT!N:N,A172))</f>
        <v/>
      </c>
      <c r="E172" t="str">
        <f t="shared" si="4"/>
        <v/>
      </c>
      <c r="F172" t="str">
        <f>IF(A172="","",_xludf.XLOOKUP(A172,MASTER_RAW_MATERIALS!B:B,MASTER_RAW_MATERIALS!E:E,0))</f>
        <v/>
      </c>
      <c r="G172" t="str">
        <f t="shared" si="5"/>
        <v/>
      </c>
    </row>
    <row r="173" spans="1:7" x14ac:dyDescent="0.2">
      <c r="A173" t="str">
        <f>IF(MASTER_RAW_MATERIALS!B173="","",MASTER_RAW_MATERIALS!B173)</f>
        <v/>
      </c>
      <c r="B173" t="str">
        <f>IF(A173="","",MASTER_RAW_MATERIALS!D173)</f>
        <v/>
      </c>
      <c r="C173" t="str">
        <f>IF(A173="","",SUMIFS(PURCHASES!E:E,PURCHASES!D:D,A173))</f>
        <v/>
      </c>
      <c r="D173" t="str">
        <f>IF(A173="","",SUMIFS(PRODUCTION_REPORT!E:E,PRODUCTION_REPORT!D:D,A173)+SUMIFS(PRODUCTION_REPORT!G:G,PRODUCTION_REPORT!F:F,A173)+SUMIFS(PRODUCTION_REPORT!I:I,PRODUCTION_REPORT!H:H,A173)+SUMIFS(PRODUCTION_REPORT!K:K,PRODUCTION_REPORT!J:J,A173)+SUMIFS(PRODUCTION_REPORT!M:M,PRODUCTION_REPORT!L:L,A173)+SUMIFS(PRODUCTION_REPORT!O:O,PRODUCTION_REPORT!N:N,A173))</f>
        <v/>
      </c>
      <c r="E173" t="str">
        <f t="shared" si="4"/>
        <v/>
      </c>
      <c r="F173" t="str">
        <f>IF(A173="","",_xludf.XLOOKUP(A173,MASTER_RAW_MATERIALS!B:B,MASTER_RAW_MATERIALS!E:E,0))</f>
        <v/>
      </c>
      <c r="G173" t="str">
        <f t="shared" si="5"/>
        <v/>
      </c>
    </row>
    <row r="174" spans="1:7" x14ac:dyDescent="0.2">
      <c r="A174" t="str">
        <f>IF(MASTER_RAW_MATERIALS!B174="","",MASTER_RAW_MATERIALS!B174)</f>
        <v/>
      </c>
      <c r="B174" t="str">
        <f>IF(A174="","",MASTER_RAW_MATERIALS!D174)</f>
        <v/>
      </c>
      <c r="C174" t="str">
        <f>IF(A174="","",SUMIFS(PURCHASES!E:E,PURCHASES!D:D,A174))</f>
        <v/>
      </c>
      <c r="D174" t="str">
        <f>IF(A174="","",SUMIFS(PRODUCTION_REPORT!E:E,PRODUCTION_REPORT!D:D,A174)+SUMIFS(PRODUCTION_REPORT!G:G,PRODUCTION_REPORT!F:F,A174)+SUMIFS(PRODUCTION_REPORT!I:I,PRODUCTION_REPORT!H:H,A174)+SUMIFS(PRODUCTION_REPORT!K:K,PRODUCTION_REPORT!J:J,A174)+SUMIFS(PRODUCTION_REPORT!M:M,PRODUCTION_REPORT!L:L,A174)+SUMIFS(PRODUCTION_REPORT!O:O,PRODUCTION_REPORT!N:N,A174))</f>
        <v/>
      </c>
      <c r="E174" t="str">
        <f t="shared" si="4"/>
        <v/>
      </c>
      <c r="F174" t="str">
        <f>IF(A174="","",_xludf.XLOOKUP(A174,MASTER_RAW_MATERIALS!B:B,MASTER_RAW_MATERIALS!E:E,0))</f>
        <v/>
      </c>
      <c r="G174" t="str">
        <f t="shared" si="5"/>
        <v/>
      </c>
    </row>
    <row r="175" spans="1:7" x14ac:dyDescent="0.2">
      <c r="A175" t="str">
        <f>IF(MASTER_RAW_MATERIALS!B175="","",MASTER_RAW_MATERIALS!B175)</f>
        <v/>
      </c>
      <c r="B175" t="str">
        <f>IF(A175="","",MASTER_RAW_MATERIALS!D175)</f>
        <v/>
      </c>
      <c r="C175" t="str">
        <f>IF(A175="","",SUMIFS(PURCHASES!E:E,PURCHASES!D:D,A175))</f>
        <v/>
      </c>
      <c r="D175" t="str">
        <f>IF(A175="","",SUMIFS(PRODUCTION_REPORT!E:E,PRODUCTION_REPORT!D:D,A175)+SUMIFS(PRODUCTION_REPORT!G:G,PRODUCTION_REPORT!F:F,A175)+SUMIFS(PRODUCTION_REPORT!I:I,PRODUCTION_REPORT!H:H,A175)+SUMIFS(PRODUCTION_REPORT!K:K,PRODUCTION_REPORT!J:J,A175)+SUMIFS(PRODUCTION_REPORT!M:M,PRODUCTION_REPORT!L:L,A175)+SUMIFS(PRODUCTION_REPORT!O:O,PRODUCTION_REPORT!N:N,A175))</f>
        <v/>
      </c>
      <c r="E175" t="str">
        <f t="shared" si="4"/>
        <v/>
      </c>
      <c r="F175" t="str">
        <f>IF(A175="","",_xludf.XLOOKUP(A175,MASTER_RAW_MATERIALS!B:B,MASTER_RAW_MATERIALS!E:E,0))</f>
        <v/>
      </c>
      <c r="G175" t="str">
        <f t="shared" si="5"/>
        <v/>
      </c>
    </row>
    <row r="176" spans="1:7" x14ac:dyDescent="0.2">
      <c r="A176" t="str">
        <f>IF(MASTER_RAW_MATERIALS!B176="","",MASTER_RAW_MATERIALS!B176)</f>
        <v/>
      </c>
      <c r="B176" t="str">
        <f>IF(A176="","",MASTER_RAW_MATERIALS!D176)</f>
        <v/>
      </c>
      <c r="C176" t="str">
        <f>IF(A176="","",SUMIFS(PURCHASES!E:E,PURCHASES!D:D,A176))</f>
        <v/>
      </c>
      <c r="D176" t="str">
        <f>IF(A176="","",SUMIFS(PRODUCTION_REPORT!E:E,PRODUCTION_REPORT!D:D,A176)+SUMIFS(PRODUCTION_REPORT!G:G,PRODUCTION_REPORT!F:F,A176)+SUMIFS(PRODUCTION_REPORT!I:I,PRODUCTION_REPORT!H:H,A176)+SUMIFS(PRODUCTION_REPORT!K:K,PRODUCTION_REPORT!J:J,A176)+SUMIFS(PRODUCTION_REPORT!M:M,PRODUCTION_REPORT!L:L,A176)+SUMIFS(PRODUCTION_REPORT!O:O,PRODUCTION_REPORT!N:N,A176))</f>
        <v/>
      </c>
      <c r="E176" t="str">
        <f t="shared" si="4"/>
        <v/>
      </c>
      <c r="F176" t="str">
        <f>IF(A176="","",_xludf.XLOOKUP(A176,MASTER_RAW_MATERIALS!B:B,MASTER_RAW_MATERIALS!E:E,0))</f>
        <v/>
      </c>
      <c r="G176" t="str">
        <f t="shared" si="5"/>
        <v/>
      </c>
    </row>
    <row r="177" spans="1:7" x14ac:dyDescent="0.2">
      <c r="A177" t="str">
        <f>IF(MASTER_RAW_MATERIALS!B177="","",MASTER_RAW_MATERIALS!B177)</f>
        <v/>
      </c>
      <c r="B177" t="str">
        <f>IF(A177="","",MASTER_RAW_MATERIALS!D177)</f>
        <v/>
      </c>
      <c r="C177" t="str">
        <f>IF(A177="","",SUMIFS(PURCHASES!E:E,PURCHASES!D:D,A177))</f>
        <v/>
      </c>
      <c r="D177" t="str">
        <f>IF(A177="","",SUMIFS(PRODUCTION_REPORT!E:E,PRODUCTION_REPORT!D:D,A177)+SUMIFS(PRODUCTION_REPORT!G:G,PRODUCTION_REPORT!F:F,A177)+SUMIFS(PRODUCTION_REPORT!I:I,PRODUCTION_REPORT!H:H,A177)+SUMIFS(PRODUCTION_REPORT!K:K,PRODUCTION_REPORT!J:J,A177)+SUMIFS(PRODUCTION_REPORT!M:M,PRODUCTION_REPORT!L:L,A177)+SUMIFS(PRODUCTION_REPORT!O:O,PRODUCTION_REPORT!N:N,A177))</f>
        <v/>
      </c>
      <c r="E177" t="str">
        <f t="shared" si="4"/>
        <v/>
      </c>
      <c r="F177" t="str">
        <f>IF(A177="","",_xludf.XLOOKUP(A177,MASTER_RAW_MATERIALS!B:B,MASTER_RAW_MATERIALS!E:E,0))</f>
        <v/>
      </c>
      <c r="G177" t="str">
        <f t="shared" si="5"/>
        <v/>
      </c>
    </row>
    <row r="178" spans="1:7" x14ac:dyDescent="0.2">
      <c r="A178" t="str">
        <f>IF(MASTER_RAW_MATERIALS!B178="","",MASTER_RAW_MATERIALS!B178)</f>
        <v/>
      </c>
      <c r="B178" t="str">
        <f>IF(A178="","",MASTER_RAW_MATERIALS!D178)</f>
        <v/>
      </c>
      <c r="C178" t="str">
        <f>IF(A178="","",SUMIFS(PURCHASES!E:E,PURCHASES!D:D,A178))</f>
        <v/>
      </c>
      <c r="D178" t="str">
        <f>IF(A178="","",SUMIFS(PRODUCTION_REPORT!E:E,PRODUCTION_REPORT!D:D,A178)+SUMIFS(PRODUCTION_REPORT!G:G,PRODUCTION_REPORT!F:F,A178)+SUMIFS(PRODUCTION_REPORT!I:I,PRODUCTION_REPORT!H:H,A178)+SUMIFS(PRODUCTION_REPORT!K:K,PRODUCTION_REPORT!J:J,A178)+SUMIFS(PRODUCTION_REPORT!M:M,PRODUCTION_REPORT!L:L,A178)+SUMIFS(PRODUCTION_REPORT!O:O,PRODUCTION_REPORT!N:N,A178))</f>
        <v/>
      </c>
      <c r="E178" t="str">
        <f t="shared" si="4"/>
        <v/>
      </c>
      <c r="F178" t="str">
        <f>IF(A178="","",_xludf.XLOOKUP(A178,MASTER_RAW_MATERIALS!B:B,MASTER_RAW_MATERIALS!E:E,0))</f>
        <v/>
      </c>
      <c r="G178" t="str">
        <f t="shared" si="5"/>
        <v/>
      </c>
    </row>
    <row r="179" spans="1:7" x14ac:dyDescent="0.2">
      <c r="A179" t="str">
        <f>IF(MASTER_RAW_MATERIALS!B179="","",MASTER_RAW_MATERIALS!B179)</f>
        <v/>
      </c>
      <c r="B179" t="str">
        <f>IF(A179="","",MASTER_RAW_MATERIALS!D179)</f>
        <v/>
      </c>
      <c r="C179" t="str">
        <f>IF(A179="","",SUMIFS(PURCHASES!E:E,PURCHASES!D:D,A179))</f>
        <v/>
      </c>
      <c r="D179" t="str">
        <f>IF(A179="","",SUMIFS(PRODUCTION_REPORT!E:E,PRODUCTION_REPORT!D:D,A179)+SUMIFS(PRODUCTION_REPORT!G:G,PRODUCTION_REPORT!F:F,A179)+SUMIFS(PRODUCTION_REPORT!I:I,PRODUCTION_REPORT!H:H,A179)+SUMIFS(PRODUCTION_REPORT!K:K,PRODUCTION_REPORT!J:J,A179)+SUMIFS(PRODUCTION_REPORT!M:M,PRODUCTION_REPORT!L:L,A179)+SUMIFS(PRODUCTION_REPORT!O:O,PRODUCTION_REPORT!N:N,A179))</f>
        <v/>
      </c>
      <c r="E179" t="str">
        <f t="shared" si="4"/>
        <v/>
      </c>
      <c r="F179" t="str">
        <f>IF(A179="","",_xludf.XLOOKUP(A179,MASTER_RAW_MATERIALS!B:B,MASTER_RAW_MATERIALS!E:E,0))</f>
        <v/>
      </c>
      <c r="G179" t="str">
        <f t="shared" si="5"/>
        <v/>
      </c>
    </row>
    <row r="180" spans="1:7" x14ac:dyDescent="0.2">
      <c r="A180" t="str">
        <f>IF(MASTER_RAW_MATERIALS!B180="","",MASTER_RAW_MATERIALS!B180)</f>
        <v/>
      </c>
      <c r="B180" t="str">
        <f>IF(A180="","",MASTER_RAW_MATERIALS!D180)</f>
        <v/>
      </c>
      <c r="C180" t="str">
        <f>IF(A180="","",SUMIFS(PURCHASES!E:E,PURCHASES!D:D,A180))</f>
        <v/>
      </c>
      <c r="D180" t="str">
        <f>IF(A180="","",SUMIFS(PRODUCTION_REPORT!E:E,PRODUCTION_REPORT!D:D,A180)+SUMIFS(PRODUCTION_REPORT!G:G,PRODUCTION_REPORT!F:F,A180)+SUMIFS(PRODUCTION_REPORT!I:I,PRODUCTION_REPORT!H:H,A180)+SUMIFS(PRODUCTION_REPORT!K:K,PRODUCTION_REPORT!J:J,A180)+SUMIFS(PRODUCTION_REPORT!M:M,PRODUCTION_REPORT!L:L,A180)+SUMIFS(PRODUCTION_REPORT!O:O,PRODUCTION_REPORT!N:N,A180))</f>
        <v/>
      </c>
      <c r="E180" t="str">
        <f t="shared" si="4"/>
        <v/>
      </c>
      <c r="F180" t="str">
        <f>IF(A180="","",_xludf.XLOOKUP(A180,MASTER_RAW_MATERIALS!B:B,MASTER_RAW_MATERIALS!E:E,0))</f>
        <v/>
      </c>
      <c r="G180" t="str">
        <f t="shared" si="5"/>
        <v/>
      </c>
    </row>
    <row r="181" spans="1:7" x14ac:dyDescent="0.2">
      <c r="A181" t="str">
        <f>IF(MASTER_RAW_MATERIALS!B181="","",MASTER_RAW_MATERIALS!B181)</f>
        <v/>
      </c>
      <c r="B181" t="str">
        <f>IF(A181="","",MASTER_RAW_MATERIALS!D181)</f>
        <v/>
      </c>
      <c r="C181" t="str">
        <f>IF(A181="","",SUMIFS(PURCHASES!E:E,PURCHASES!D:D,A181))</f>
        <v/>
      </c>
      <c r="D181" t="str">
        <f>IF(A181="","",SUMIFS(PRODUCTION_REPORT!E:E,PRODUCTION_REPORT!D:D,A181)+SUMIFS(PRODUCTION_REPORT!G:G,PRODUCTION_REPORT!F:F,A181)+SUMIFS(PRODUCTION_REPORT!I:I,PRODUCTION_REPORT!H:H,A181)+SUMIFS(PRODUCTION_REPORT!K:K,PRODUCTION_REPORT!J:J,A181)+SUMIFS(PRODUCTION_REPORT!M:M,PRODUCTION_REPORT!L:L,A181)+SUMIFS(PRODUCTION_REPORT!O:O,PRODUCTION_REPORT!N:N,A181))</f>
        <v/>
      </c>
      <c r="E181" t="str">
        <f t="shared" si="4"/>
        <v/>
      </c>
      <c r="F181" t="str">
        <f>IF(A181="","",_xludf.XLOOKUP(A181,MASTER_RAW_MATERIALS!B:B,MASTER_RAW_MATERIALS!E:E,0))</f>
        <v/>
      </c>
      <c r="G181" t="str">
        <f t="shared" si="5"/>
        <v/>
      </c>
    </row>
    <row r="182" spans="1:7" x14ac:dyDescent="0.2">
      <c r="A182" t="str">
        <f>IF(MASTER_RAW_MATERIALS!B182="","",MASTER_RAW_MATERIALS!B182)</f>
        <v/>
      </c>
      <c r="B182" t="str">
        <f>IF(A182="","",MASTER_RAW_MATERIALS!D182)</f>
        <v/>
      </c>
      <c r="C182" t="str">
        <f>IF(A182="","",SUMIFS(PURCHASES!E:E,PURCHASES!D:D,A182))</f>
        <v/>
      </c>
      <c r="D182" t="str">
        <f>IF(A182="","",SUMIFS(PRODUCTION_REPORT!E:E,PRODUCTION_REPORT!D:D,A182)+SUMIFS(PRODUCTION_REPORT!G:G,PRODUCTION_REPORT!F:F,A182)+SUMIFS(PRODUCTION_REPORT!I:I,PRODUCTION_REPORT!H:H,A182)+SUMIFS(PRODUCTION_REPORT!K:K,PRODUCTION_REPORT!J:J,A182)+SUMIFS(PRODUCTION_REPORT!M:M,PRODUCTION_REPORT!L:L,A182)+SUMIFS(PRODUCTION_REPORT!O:O,PRODUCTION_REPORT!N:N,A182))</f>
        <v/>
      </c>
      <c r="E182" t="str">
        <f t="shared" si="4"/>
        <v/>
      </c>
      <c r="F182" t="str">
        <f>IF(A182="","",_xludf.XLOOKUP(A182,MASTER_RAW_MATERIALS!B:B,MASTER_RAW_MATERIALS!E:E,0))</f>
        <v/>
      </c>
      <c r="G182" t="str">
        <f t="shared" si="5"/>
        <v/>
      </c>
    </row>
    <row r="183" spans="1:7" x14ac:dyDescent="0.2">
      <c r="A183" t="str">
        <f>IF(MASTER_RAW_MATERIALS!B183="","",MASTER_RAW_MATERIALS!B183)</f>
        <v/>
      </c>
      <c r="B183" t="str">
        <f>IF(A183="","",MASTER_RAW_MATERIALS!D183)</f>
        <v/>
      </c>
      <c r="C183" t="str">
        <f>IF(A183="","",SUMIFS(PURCHASES!E:E,PURCHASES!D:D,A183))</f>
        <v/>
      </c>
      <c r="D183" t="str">
        <f>IF(A183="","",SUMIFS(PRODUCTION_REPORT!E:E,PRODUCTION_REPORT!D:D,A183)+SUMIFS(PRODUCTION_REPORT!G:G,PRODUCTION_REPORT!F:F,A183)+SUMIFS(PRODUCTION_REPORT!I:I,PRODUCTION_REPORT!H:H,A183)+SUMIFS(PRODUCTION_REPORT!K:K,PRODUCTION_REPORT!J:J,A183)+SUMIFS(PRODUCTION_REPORT!M:M,PRODUCTION_REPORT!L:L,A183)+SUMIFS(PRODUCTION_REPORT!O:O,PRODUCTION_REPORT!N:N,A183))</f>
        <v/>
      </c>
      <c r="E183" t="str">
        <f t="shared" si="4"/>
        <v/>
      </c>
      <c r="F183" t="str">
        <f>IF(A183="","",_xludf.XLOOKUP(A183,MASTER_RAW_MATERIALS!B:B,MASTER_RAW_MATERIALS!E:E,0))</f>
        <v/>
      </c>
      <c r="G183" t="str">
        <f t="shared" si="5"/>
        <v/>
      </c>
    </row>
    <row r="184" spans="1:7" x14ac:dyDescent="0.2">
      <c r="A184" t="str">
        <f>IF(MASTER_RAW_MATERIALS!B184="","",MASTER_RAW_MATERIALS!B184)</f>
        <v/>
      </c>
      <c r="B184" t="str">
        <f>IF(A184="","",MASTER_RAW_MATERIALS!D184)</f>
        <v/>
      </c>
      <c r="C184" t="str">
        <f>IF(A184="","",SUMIFS(PURCHASES!E:E,PURCHASES!D:D,A184))</f>
        <v/>
      </c>
      <c r="D184" t="str">
        <f>IF(A184="","",SUMIFS(PRODUCTION_REPORT!E:E,PRODUCTION_REPORT!D:D,A184)+SUMIFS(PRODUCTION_REPORT!G:G,PRODUCTION_REPORT!F:F,A184)+SUMIFS(PRODUCTION_REPORT!I:I,PRODUCTION_REPORT!H:H,A184)+SUMIFS(PRODUCTION_REPORT!K:K,PRODUCTION_REPORT!J:J,A184)+SUMIFS(PRODUCTION_REPORT!M:M,PRODUCTION_REPORT!L:L,A184)+SUMIFS(PRODUCTION_REPORT!O:O,PRODUCTION_REPORT!N:N,A184))</f>
        <v/>
      </c>
      <c r="E184" t="str">
        <f t="shared" si="4"/>
        <v/>
      </c>
      <c r="F184" t="str">
        <f>IF(A184="","",_xludf.XLOOKUP(A184,MASTER_RAW_MATERIALS!B:B,MASTER_RAW_MATERIALS!E:E,0))</f>
        <v/>
      </c>
      <c r="G184" t="str">
        <f t="shared" si="5"/>
        <v/>
      </c>
    </row>
    <row r="185" spans="1:7" x14ac:dyDescent="0.2">
      <c r="A185" t="str">
        <f>IF(MASTER_RAW_MATERIALS!B185="","",MASTER_RAW_MATERIALS!B185)</f>
        <v/>
      </c>
      <c r="B185" t="str">
        <f>IF(A185="","",MASTER_RAW_MATERIALS!D185)</f>
        <v/>
      </c>
      <c r="C185" t="str">
        <f>IF(A185="","",SUMIFS(PURCHASES!E:E,PURCHASES!D:D,A185))</f>
        <v/>
      </c>
      <c r="D185" t="str">
        <f>IF(A185="","",SUMIFS(PRODUCTION_REPORT!E:E,PRODUCTION_REPORT!D:D,A185)+SUMIFS(PRODUCTION_REPORT!G:G,PRODUCTION_REPORT!F:F,A185)+SUMIFS(PRODUCTION_REPORT!I:I,PRODUCTION_REPORT!H:H,A185)+SUMIFS(PRODUCTION_REPORT!K:K,PRODUCTION_REPORT!J:J,A185)+SUMIFS(PRODUCTION_REPORT!M:M,PRODUCTION_REPORT!L:L,A185)+SUMIFS(PRODUCTION_REPORT!O:O,PRODUCTION_REPORT!N:N,A185))</f>
        <v/>
      </c>
      <c r="E185" t="str">
        <f t="shared" si="4"/>
        <v/>
      </c>
      <c r="F185" t="str">
        <f>IF(A185="","",_xludf.XLOOKUP(A185,MASTER_RAW_MATERIALS!B:B,MASTER_RAW_MATERIALS!E:E,0))</f>
        <v/>
      </c>
      <c r="G185" t="str">
        <f t="shared" si="5"/>
        <v/>
      </c>
    </row>
    <row r="186" spans="1:7" x14ac:dyDescent="0.2">
      <c r="A186" t="str">
        <f>IF(MASTER_RAW_MATERIALS!B186="","",MASTER_RAW_MATERIALS!B186)</f>
        <v/>
      </c>
      <c r="B186" t="str">
        <f>IF(A186="","",MASTER_RAW_MATERIALS!D186)</f>
        <v/>
      </c>
      <c r="C186" t="str">
        <f>IF(A186="","",SUMIFS(PURCHASES!E:E,PURCHASES!D:D,A186))</f>
        <v/>
      </c>
      <c r="D186" t="str">
        <f>IF(A186="","",SUMIFS(PRODUCTION_REPORT!E:E,PRODUCTION_REPORT!D:D,A186)+SUMIFS(PRODUCTION_REPORT!G:G,PRODUCTION_REPORT!F:F,A186)+SUMIFS(PRODUCTION_REPORT!I:I,PRODUCTION_REPORT!H:H,A186)+SUMIFS(PRODUCTION_REPORT!K:K,PRODUCTION_REPORT!J:J,A186)+SUMIFS(PRODUCTION_REPORT!M:M,PRODUCTION_REPORT!L:L,A186)+SUMIFS(PRODUCTION_REPORT!O:O,PRODUCTION_REPORT!N:N,A186))</f>
        <v/>
      </c>
      <c r="E186" t="str">
        <f t="shared" si="4"/>
        <v/>
      </c>
      <c r="F186" t="str">
        <f>IF(A186="","",_xludf.XLOOKUP(A186,MASTER_RAW_MATERIALS!B:B,MASTER_RAW_MATERIALS!E:E,0))</f>
        <v/>
      </c>
      <c r="G186" t="str">
        <f t="shared" si="5"/>
        <v/>
      </c>
    </row>
    <row r="187" spans="1:7" x14ac:dyDescent="0.2">
      <c r="A187" t="str">
        <f>IF(MASTER_RAW_MATERIALS!B187="","",MASTER_RAW_MATERIALS!B187)</f>
        <v/>
      </c>
      <c r="B187" t="str">
        <f>IF(A187="","",MASTER_RAW_MATERIALS!D187)</f>
        <v/>
      </c>
      <c r="C187" t="str">
        <f>IF(A187="","",SUMIFS(PURCHASES!E:E,PURCHASES!D:D,A187))</f>
        <v/>
      </c>
      <c r="D187" t="str">
        <f>IF(A187="","",SUMIFS(PRODUCTION_REPORT!E:E,PRODUCTION_REPORT!D:D,A187)+SUMIFS(PRODUCTION_REPORT!G:G,PRODUCTION_REPORT!F:F,A187)+SUMIFS(PRODUCTION_REPORT!I:I,PRODUCTION_REPORT!H:H,A187)+SUMIFS(PRODUCTION_REPORT!K:K,PRODUCTION_REPORT!J:J,A187)+SUMIFS(PRODUCTION_REPORT!M:M,PRODUCTION_REPORT!L:L,A187)+SUMIFS(PRODUCTION_REPORT!O:O,PRODUCTION_REPORT!N:N,A187))</f>
        <v/>
      </c>
      <c r="E187" t="str">
        <f t="shared" si="4"/>
        <v/>
      </c>
      <c r="F187" t="str">
        <f>IF(A187="","",_xludf.XLOOKUP(A187,MASTER_RAW_MATERIALS!B:B,MASTER_RAW_MATERIALS!E:E,0))</f>
        <v/>
      </c>
      <c r="G187" t="str">
        <f t="shared" si="5"/>
        <v/>
      </c>
    </row>
    <row r="188" spans="1:7" x14ac:dyDescent="0.2">
      <c r="A188" t="str">
        <f>IF(MASTER_RAW_MATERIALS!B188="","",MASTER_RAW_MATERIALS!B188)</f>
        <v/>
      </c>
      <c r="B188" t="str">
        <f>IF(A188="","",MASTER_RAW_MATERIALS!D188)</f>
        <v/>
      </c>
      <c r="C188" t="str">
        <f>IF(A188="","",SUMIFS(PURCHASES!E:E,PURCHASES!D:D,A188))</f>
        <v/>
      </c>
      <c r="D188" t="str">
        <f>IF(A188="","",SUMIFS(PRODUCTION_REPORT!E:E,PRODUCTION_REPORT!D:D,A188)+SUMIFS(PRODUCTION_REPORT!G:G,PRODUCTION_REPORT!F:F,A188)+SUMIFS(PRODUCTION_REPORT!I:I,PRODUCTION_REPORT!H:H,A188)+SUMIFS(PRODUCTION_REPORT!K:K,PRODUCTION_REPORT!J:J,A188)+SUMIFS(PRODUCTION_REPORT!M:M,PRODUCTION_REPORT!L:L,A188)+SUMIFS(PRODUCTION_REPORT!O:O,PRODUCTION_REPORT!N:N,A188))</f>
        <v/>
      </c>
      <c r="E188" t="str">
        <f t="shared" si="4"/>
        <v/>
      </c>
      <c r="F188" t="str">
        <f>IF(A188="","",_xludf.XLOOKUP(A188,MASTER_RAW_MATERIALS!B:B,MASTER_RAW_MATERIALS!E:E,0))</f>
        <v/>
      </c>
      <c r="G188" t="str">
        <f t="shared" si="5"/>
        <v/>
      </c>
    </row>
    <row r="189" spans="1:7" x14ac:dyDescent="0.2">
      <c r="A189" t="str">
        <f>IF(MASTER_RAW_MATERIALS!B189="","",MASTER_RAW_MATERIALS!B189)</f>
        <v/>
      </c>
      <c r="B189" t="str">
        <f>IF(A189="","",MASTER_RAW_MATERIALS!D189)</f>
        <v/>
      </c>
      <c r="C189" t="str">
        <f>IF(A189="","",SUMIFS(PURCHASES!E:E,PURCHASES!D:D,A189))</f>
        <v/>
      </c>
      <c r="D189" t="str">
        <f>IF(A189="","",SUMIFS(PRODUCTION_REPORT!E:E,PRODUCTION_REPORT!D:D,A189)+SUMIFS(PRODUCTION_REPORT!G:G,PRODUCTION_REPORT!F:F,A189)+SUMIFS(PRODUCTION_REPORT!I:I,PRODUCTION_REPORT!H:H,A189)+SUMIFS(PRODUCTION_REPORT!K:K,PRODUCTION_REPORT!J:J,A189)+SUMIFS(PRODUCTION_REPORT!M:M,PRODUCTION_REPORT!L:L,A189)+SUMIFS(PRODUCTION_REPORT!O:O,PRODUCTION_REPORT!N:N,A189))</f>
        <v/>
      </c>
      <c r="E189" t="str">
        <f t="shared" si="4"/>
        <v/>
      </c>
      <c r="F189" t="str">
        <f>IF(A189="","",_xludf.XLOOKUP(A189,MASTER_RAW_MATERIALS!B:B,MASTER_RAW_MATERIALS!E:E,0))</f>
        <v/>
      </c>
      <c r="G189" t="str">
        <f t="shared" si="5"/>
        <v/>
      </c>
    </row>
    <row r="190" spans="1:7" x14ac:dyDescent="0.2">
      <c r="A190" t="str">
        <f>IF(MASTER_RAW_MATERIALS!B190="","",MASTER_RAW_MATERIALS!B190)</f>
        <v/>
      </c>
      <c r="B190" t="str">
        <f>IF(A190="","",MASTER_RAW_MATERIALS!D190)</f>
        <v/>
      </c>
      <c r="C190" t="str">
        <f>IF(A190="","",SUMIFS(PURCHASES!E:E,PURCHASES!D:D,A190))</f>
        <v/>
      </c>
      <c r="D190" t="str">
        <f>IF(A190="","",SUMIFS(PRODUCTION_REPORT!E:E,PRODUCTION_REPORT!D:D,A190)+SUMIFS(PRODUCTION_REPORT!G:G,PRODUCTION_REPORT!F:F,A190)+SUMIFS(PRODUCTION_REPORT!I:I,PRODUCTION_REPORT!H:H,A190)+SUMIFS(PRODUCTION_REPORT!K:K,PRODUCTION_REPORT!J:J,A190)+SUMIFS(PRODUCTION_REPORT!M:M,PRODUCTION_REPORT!L:L,A190)+SUMIFS(PRODUCTION_REPORT!O:O,PRODUCTION_REPORT!N:N,A190))</f>
        <v/>
      </c>
      <c r="E190" t="str">
        <f t="shared" si="4"/>
        <v/>
      </c>
      <c r="F190" t="str">
        <f>IF(A190="","",_xludf.XLOOKUP(A190,MASTER_RAW_MATERIALS!B:B,MASTER_RAW_MATERIALS!E:E,0))</f>
        <v/>
      </c>
      <c r="G190" t="str">
        <f t="shared" si="5"/>
        <v/>
      </c>
    </row>
    <row r="191" spans="1:7" x14ac:dyDescent="0.2">
      <c r="A191" t="str">
        <f>IF(MASTER_RAW_MATERIALS!B191="","",MASTER_RAW_MATERIALS!B191)</f>
        <v/>
      </c>
      <c r="B191" t="str">
        <f>IF(A191="","",MASTER_RAW_MATERIALS!D191)</f>
        <v/>
      </c>
      <c r="C191" t="str">
        <f>IF(A191="","",SUMIFS(PURCHASES!E:E,PURCHASES!D:D,A191))</f>
        <v/>
      </c>
      <c r="D191" t="str">
        <f>IF(A191="","",SUMIFS(PRODUCTION_REPORT!E:E,PRODUCTION_REPORT!D:D,A191)+SUMIFS(PRODUCTION_REPORT!G:G,PRODUCTION_REPORT!F:F,A191)+SUMIFS(PRODUCTION_REPORT!I:I,PRODUCTION_REPORT!H:H,A191)+SUMIFS(PRODUCTION_REPORT!K:K,PRODUCTION_REPORT!J:J,A191)+SUMIFS(PRODUCTION_REPORT!M:M,PRODUCTION_REPORT!L:L,A191)+SUMIFS(PRODUCTION_REPORT!O:O,PRODUCTION_REPORT!N:N,A191))</f>
        <v/>
      </c>
      <c r="E191" t="str">
        <f t="shared" si="4"/>
        <v/>
      </c>
      <c r="F191" t="str">
        <f>IF(A191="","",_xludf.XLOOKUP(A191,MASTER_RAW_MATERIALS!B:B,MASTER_RAW_MATERIALS!E:E,0))</f>
        <v/>
      </c>
      <c r="G191" t="str">
        <f t="shared" si="5"/>
        <v/>
      </c>
    </row>
    <row r="192" spans="1:7" x14ac:dyDescent="0.2">
      <c r="A192" t="str">
        <f>IF(MASTER_RAW_MATERIALS!B192="","",MASTER_RAW_MATERIALS!B192)</f>
        <v/>
      </c>
      <c r="B192" t="str">
        <f>IF(A192="","",MASTER_RAW_MATERIALS!D192)</f>
        <v/>
      </c>
      <c r="C192" t="str">
        <f>IF(A192="","",SUMIFS(PURCHASES!E:E,PURCHASES!D:D,A192))</f>
        <v/>
      </c>
      <c r="D192" t="str">
        <f>IF(A192="","",SUMIFS(PRODUCTION_REPORT!E:E,PRODUCTION_REPORT!D:D,A192)+SUMIFS(PRODUCTION_REPORT!G:G,PRODUCTION_REPORT!F:F,A192)+SUMIFS(PRODUCTION_REPORT!I:I,PRODUCTION_REPORT!H:H,A192)+SUMIFS(PRODUCTION_REPORT!K:K,PRODUCTION_REPORT!J:J,A192)+SUMIFS(PRODUCTION_REPORT!M:M,PRODUCTION_REPORT!L:L,A192)+SUMIFS(PRODUCTION_REPORT!O:O,PRODUCTION_REPORT!N:N,A192))</f>
        <v/>
      </c>
      <c r="E192" t="str">
        <f t="shared" si="4"/>
        <v/>
      </c>
      <c r="F192" t="str">
        <f>IF(A192="","",_xludf.XLOOKUP(A192,MASTER_RAW_MATERIALS!B:B,MASTER_RAW_MATERIALS!E:E,0))</f>
        <v/>
      </c>
      <c r="G192" t="str">
        <f t="shared" si="5"/>
        <v/>
      </c>
    </row>
    <row r="193" spans="1:7" x14ac:dyDescent="0.2">
      <c r="A193" t="str">
        <f>IF(MASTER_RAW_MATERIALS!B193="","",MASTER_RAW_MATERIALS!B193)</f>
        <v/>
      </c>
      <c r="B193" t="str">
        <f>IF(A193="","",MASTER_RAW_MATERIALS!D193)</f>
        <v/>
      </c>
      <c r="C193" t="str">
        <f>IF(A193="","",SUMIFS(PURCHASES!E:E,PURCHASES!D:D,A193))</f>
        <v/>
      </c>
      <c r="D193" t="str">
        <f>IF(A193="","",SUMIFS(PRODUCTION_REPORT!E:E,PRODUCTION_REPORT!D:D,A193)+SUMIFS(PRODUCTION_REPORT!G:G,PRODUCTION_REPORT!F:F,A193)+SUMIFS(PRODUCTION_REPORT!I:I,PRODUCTION_REPORT!H:H,A193)+SUMIFS(PRODUCTION_REPORT!K:K,PRODUCTION_REPORT!J:J,A193)+SUMIFS(PRODUCTION_REPORT!M:M,PRODUCTION_REPORT!L:L,A193)+SUMIFS(PRODUCTION_REPORT!O:O,PRODUCTION_REPORT!N:N,A193))</f>
        <v/>
      </c>
      <c r="E193" t="str">
        <f t="shared" si="4"/>
        <v/>
      </c>
      <c r="F193" t="str">
        <f>IF(A193="","",_xludf.XLOOKUP(A193,MASTER_RAW_MATERIALS!B:B,MASTER_RAW_MATERIALS!E:E,0))</f>
        <v/>
      </c>
      <c r="G193" t="str">
        <f t="shared" si="5"/>
        <v/>
      </c>
    </row>
    <row r="194" spans="1:7" x14ac:dyDescent="0.2">
      <c r="A194" t="str">
        <f>IF(MASTER_RAW_MATERIALS!B194="","",MASTER_RAW_MATERIALS!B194)</f>
        <v/>
      </c>
      <c r="B194" t="str">
        <f>IF(A194="","",MASTER_RAW_MATERIALS!D194)</f>
        <v/>
      </c>
      <c r="C194" t="str">
        <f>IF(A194="","",SUMIFS(PURCHASES!E:E,PURCHASES!D:D,A194))</f>
        <v/>
      </c>
      <c r="D194" t="str">
        <f>IF(A194="","",SUMIFS(PRODUCTION_REPORT!E:E,PRODUCTION_REPORT!D:D,A194)+SUMIFS(PRODUCTION_REPORT!G:G,PRODUCTION_REPORT!F:F,A194)+SUMIFS(PRODUCTION_REPORT!I:I,PRODUCTION_REPORT!H:H,A194)+SUMIFS(PRODUCTION_REPORT!K:K,PRODUCTION_REPORT!J:J,A194)+SUMIFS(PRODUCTION_REPORT!M:M,PRODUCTION_REPORT!L:L,A194)+SUMIFS(PRODUCTION_REPORT!O:O,PRODUCTION_REPORT!N:N,A194))</f>
        <v/>
      </c>
      <c r="E194" t="str">
        <f t="shared" ref="E194:E257" si="6">IF(A194="","",B194+C194-D194)</f>
        <v/>
      </c>
      <c r="F194" t="str">
        <f>IF(A194="","",_xludf.XLOOKUP(A194,MASTER_RAW_MATERIALS!B:B,MASTER_RAW_MATERIALS!E:E,0))</f>
        <v/>
      </c>
      <c r="G194" t="str">
        <f t="shared" ref="G194:G257" si="7">IF(A194="","",E194*F194)</f>
        <v/>
      </c>
    </row>
    <row r="195" spans="1:7" x14ac:dyDescent="0.2">
      <c r="A195" t="str">
        <f>IF(MASTER_RAW_MATERIALS!B195="","",MASTER_RAW_MATERIALS!B195)</f>
        <v/>
      </c>
      <c r="B195" t="str">
        <f>IF(A195="","",MASTER_RAW_MATERIALS!D195)</f>
        <v/>
      </c>
      <c r="C195" t="str">
        <f>IF(A195="","",SUMIFS(PURCHASES!E:E,PURCHASES!D:D,A195))</f>
        <v/>
      </c>
      <c r="D195" t="str">
        <f>IF(A195="","",SUMIFS(PRODUCTION_REPORT!E:E,PRODUCTION_REPORT!D:D,A195)+SUMIFS(PRODUCTION_REPORT!G:G,PRODUCTION_REPORT!F:F,A195)+SUMIFS(PRODUCTION_REPORT!I:I,PRODUCTION_REPORT!H:H,A195)+SUMIFS(PRODUCTION_REPORT!K:K,PRODUCTION_REPORT!J:J,A195)+SUMIFS(PRODUCTION_REPORT!M:M,PRODUCTION_REPORT!L:L,A195)+SUMIFS(PRODUCTION_REPORT!O:O,PRODUCTION_REPORT!N:N,A195))</f>
        <v/>
      </c>
      <c r="E195" t="str">
        <f t="shared" si="6"/>
        <v/>
      </c>
      <c r="F195" t="str">
        <f>IF(A195="","",_xludf.XLOOKUP(A195,MASTER_RAW_MATERIALS!B:B,MASTER_RAW_MATERIALS!E:E,0))</f>
        <v/>
      </c>
      <c r="G195" t="str">
        <f t="shared" si="7"/>
        <v/>
      </c>
    </row>
    <row r="196" spans="1:7" x14ac:dyDescent="0.2">
      <c r="A196" t="str">
        <f>IF(MASTER_RAW_MATERIALS!B196="","",MASTER_RAW_MATERIALS!B196)</f>
        <v/>
      </c>
      <c r="B196" t="str">
        <f>IF(A196="","",MASTER_RAW_MATERIALS!D196)</f>
        <v/>
      </c>
      <c r="C196" t="str">
        <f>IF(A196="","",SUMIFS(PURCHASES!E:E,PURCHASES!D:D,A196))</f>
        <v/>
      </c>
      <c r="D196" t="str">
        <f>IF(A196="","",SUMIFS(PRODUCTION_REPORT!E:E,PRODUCTION_REPORT!D:D,A196)+SUMIFS(PRODUCTION_REPORT!G:G,PRODUCTION_REPORT!F:F,A196)+SUMIFS(PRODUCTION_REPORT!I:I,PRODUCTION_REPORT!H:H,A196)+SUMIFS(PRODUCTION_REPORT!K:K,PRODUCTION_REPORT!J:J,A196)+SUMIFS(PRODUCTION_REPORT!M:M,PRODUCTION_REPORT!L:L,A196)+SUMIFS(PRODUCTION_REPORT!O:O,PRODUCTION_REPORT!N:N,A196))</f>
        <v/>
      </c>
      <c r="E196" t="str">
        <f t="shared" si="6"/>
        <v/>
      </c>
      <c r="F196" t="str">
        <f>IF(A196="","",_xludf.XLOOKUP(A196,MASTER_RAW_MATERIALS!B:B,MASTER_RAW_MATERIALS!E:E,0))</f>
        <v/>
      </c>
      <c r="G196" t="str">
        <f t="shared" si="7"/>
        <v/>
      </c>
    </row>
    <row r="197" spans="1:7" x14ac:dyDescent="0.2">
      <c r="A197" t="str">
        <f>IF(MASTER_RAW_MATERIALS!B197="","",MASTER_RAW_MATERIALS!B197)</f>
        <v/>
      </c>
      <c r="B197" t="str">
        <f>IF(A197="","",MASTER_RAW_MATERIALS!D197)</f>
        <v/>
      </c>
      <c r="C197" t="str">
        <f>IF(A197="","",SUMIFS(PURCHASES!E:E,PURCHASES!D:D,A197))</f>
        <v/>
      </c>
      <c r="D197" t="str">
        <f>IF(A197="","",SUMIFS(PRODUCTION_REPORT!E:E,PRODUCTION_REPORT!D:D,A197)+SUMIFS(PRODUCTION_REPORT!G:G,PRODUCTION_REPORT!F:F,A197)+SUMIFS(PRODUCTION_REPORT!I:I,PRODUCTION_REPORT!H:H,A197)+SUMIFS(PRODUCTION_REPORT!K:K,PRODUCTION_REPORT!J:J,A197)+SUMIFS(PRODUCTION_REPORT!M:M,PRODUCTION_REPORT!L:L,A197)+SUMIFS(PRODUCTION_REPORT!O:O,PRODUCTION_REPORT!N:N,A197))</f>
        <v/>
      </c>
      <c r="E197" t="str">
        <f t="shared" si="6"/>
        <v/>
      </c>
      <c r="F197" t="str">
        <f>IF(A197="","",_xludf.XLOOKUP(A197,MASTER_RAW_MATERIALS!B:B,MASTER_RAW_MATERIALS!E:E,0))</f>
        <v/>
      </c>
      <c r="G197" t="str">
        <f t="shared" si="7"/>
        <v/>
      </c>
    </row>
    <row r="198" spans="1:7" x14ac:dyDescent="0.2">
      <c r="A198" t="str">
        <f>IF(MASTER_RAW_MATERIALS!B198="","",MASTER_RAW_MATERIALS!B198)</f>
        <v/>
      </c>
      <c r="B198" t="str">
        <f>IF(A198="","",MASTER_RAW_MATERIALS!D198)</f>
        <v/>
      </c>
      <c r="C198" t="str">
        <f>IF(A198="","",SUMIFS(PURCHASES!E:E,PURCHASES!D:D,A198))</f>
        <v/>
      </c>
      <c r="D198" t="str">
        <f>IF(A198="","",SUMIFS(PRODUCTION_REPORT!E:E,PRODUCTION_REPORT!D:D,A198)+SUMIFS(PRODUCTION_REPORT!G:G,PRODUCTION_REPORT!F:F,A198)+SUMIFS(PRODUCTION_REPORT!I:I,PRODUCTION_REPORT!H:H,A198)+SUMIFS(PRODUCTION_REPORT!K:K,PRODUCTION_REPORT!J:J,A198)+SUMIFS(PRODUCTION_REPORT!M:M,PRODUCTION_REPORT!L:L,A198)+SUMIFS(PRODUCTION_REPORT!O:O,PRODUCTION_REPORT!N:N,A198))</f>
        <v/>
      </c>
      <c r="E198" t="str">
        <f t="shared" si="6"/>
        <v/>
      </c>
      <c r="F198" t="str">
        <f>IF(A198="","",_xludf.XLOOKUP(A198,MASTER_RAW_MATERIALS!B:B,MASTER_RAW_MATERIALS!E:E,0))</f>
        <v/>
      </c>
      <c r="G198" t="str">
        <f t="shared" si="7"/>
        <v/>
      </c>
    </row>
    <row r="199" spans="1:7" x14ac:dyDescent="0.2">
      <c r="A199" t="str">
        <f>IF(MASTER_RAW_MATERIALS!B199="","",MASTER_RAW_MATERIALS!B199)</f>
        <v/>
      </c>
      <c r="B199" t="str">
        <f>IF(A199="","",MASTER_RAW_MATERIALS!D199)</f>
        <v/>
      </c>
      <c r="C199" t="str">
        <f>IF(A199="","",SUMIFS(PURCHASES!E:E,PURCHASES!D:D,A199))</f>
        <v/>
      </c>
      <c r="D199" t="str">
        <f>IF(A199="","",SUMIFS(PRODUCTION_REPORT!E:E,PRODUCTION_REPORT!D:D,A199)+SUMIFS(PRODUCTION_REPORT!G:G,PRODUCTION_REPORT!F:F,A199)+SUMIFS(PRODUCTION_REPORT!I:I,PRODUCTION_REPORT!H:H,A199)+SUMIFS(PRODUCTION_REPORT!K:K,PRODUCTION_REPORT!J:J,A199)+SUMIFS(PRODUCTION_REPORT!M:M,PRODUCTION_REPORT!L:L,A199)+SUMIFS(PRODUCTION_REPORT!O:O,PRODUCTION_REPORT!N:N,A199))</f>
        <v/>
      </c>
      <c r="E199" t="str">
        <f t="shared" si="6"/>
        <v/>
      </c>
      <c r="F199" t="str">
        <f>IF(A199="","",_xludf.XLOOKUP(A199,MASTER_RAW_MATERIALS!B:B,MASTER_RAW_MATERIALS!E:E,0))</f>
        <v/>
      </c>
      <c r="G199" t="str">
        <f t="shared" si="7"/>
        <v/>
      </c>
    </row>
    <row r="200" spans="1:7" x14ac:dyDescent="0.2">
      <c r="A200" t="str">
        <f>IF(MASTER_RAW_MATERIALS!B200="","",MASTER_RAW_MATERIALS!B200)</f>
        <v/>
      </c>
      <c r="B200" t="str">
        <f>IF(A200="","",MASTER_RAW_MATERIALS!D200)</f>
        <v/>
      </c>
      <c r="C200" t="str">
        <f>IF(A200="","",SUMIFS(PURCHASES!E:E,PURCHASES!D:D,A200))</f>
        <v/>
      </c>
      <c r="D200" t="str">
        <f>IF(A200="","",SUMIFS(PRODUCTION_REPORT!E:E,PRODUCTION_REPORT!D:D,A200)+SUMIFS(PRODUCTION_REPORT!G:G,PRODUCTION_REPORT!F:F,A200)+SUMIFS(PRODUCTION_REPORT!I:I,PRODUCTION_REPORT!H:H,A200)+SUMIFS(PRODUCTION_REPORT!K:K,PRODUCTION_REPORT!J:J,A200)+SUMIFS(PRODUCTION_REPORT!M:M,PRODUCTION_REPORT!L:L,A200)+SUMIFS(PRODUCTION_REPORT!O:O,PRODUCTION_REPORT!N:N,A200))</f>
        <v/>
      </c>
      <c r="E200" t="str">
        <f t="shared" si="6"/>
        <v/>
      </c>
      <c r="F200" t="str">
        <f>IF(A200="","",_xludf.XLOOKUP(A200,MASTER_RAW_MATERIALS!B:B,MASTER_RAW_MATERIALS!E:E,0))</f>
        <v/>
      </c>
      <c r="G200" t="str">
        <f t="shared" si="7"/>
        <v/>
      </c>
    </row>
    <row r="201" spans="1:7" x14ac:dyDescent="0.2">
      <c r="A201" t="str">
        <f>IF(MASTER_RAW_MATERIALS!B201="","",MASTER_RAW_MATERIALS!B201)</f>
        <v/>
      </c>
      <c r="B201" t="str">
        <f>IF(A201="","",MASTER_RAW_MATERIALS!D201)</f>
        <v/>
      </c>
      <c r="C201" t="str">
        <f>IF(A201="","",SUMIFS(PURCHASES!E:E,PURCHASES!D:D,A201))</f>
        <v/>
      </c>
      <c r="D201" t="str">
        <f>IF(A201="","",SUMIFS(PRODUCTION_REPORT!E:E,PRODUCTION_REPORT!D:D,A201)+SUMIFS(PRODUCTION_REPORT!G:G,PRODUCTION_REPORT!F:F,A201)+SUMIFS(PRODUCTION_REPORT!I:I,PRODUCTION_REPORT!H:H,A201)+SUMIFS(PRODUCTION_REPORT!K:K,PRODUCTION_REPORT!J:J,A201)+SUMIFS(PRODUCTION_REPORT!M:M,PRODUCTION_REPORT!L:L,A201)+SUMIFS(PRODUCTION_REPORT!O:O,PRODUCTION_REPORT!N:N,A201))</f>
        <v/>
      </c>
      <c r="E201" t="str">
        <f t="shared" si="6"/>
        <v/>
      </c>
      <c r="F201" t="str">
        <f>IF(A201="","",_xludf.XLOOKUP(A201,MASTER_RAW_MATERIALS!B:B,MASTER_RAW_MATERIALS!E:E,0))</f>
        <v/>
      </c>
      <c r="G201" t="str">
        <f t="shared" si="7"/>
        <v/>
      </c>
    </row>
    <row r="202" spans="1:7" x14ac:dyDescent="0.2">
      <c r="A202" t="str">
        <f>IF(MASTER_RAW_MATERIALS!B202="","",MASTER_RAW_MATERIALS!B202)</f>
        <v/>
      </c>
      <c r="B202" t="str">
        <f>IF(A202="","",MASTER_RAW_MATERIALS!D202)</f>
        <v/>
      </c>
      <c r="C202" t="str">
        <f>IF(A202="","",SUMIFS(PURCHASES!E:E,PURCHASES!D:D,A202))</f>
        <v/>
      </c>
      <c r="D202" t="str">
        <f>IF(A202="","",SUMIFS(PRODUCTION_REPORT!E:E,PRODUCTION_REPORT!D:D,A202)+SUMIFS(PRODUCTION_REPORT!G:G,PRODUCTION_REPORT!F:F,A202)+SUMIFS(PRODUCTION_REPORT!I:I,PRODUCTION_REPORT!H:H,A202)+SUMIFS(PRODUCTION_REPORT!K:K,PRODUCTION_REPORT!J:J,A202)+SUMIFS(PRODUCTION_REPORT!M:M,PRODUCTION_REPORT!L:L,A202)+SUMIFS(PRODUCTION_REPORT!O:O,PRODUCTION_REPORT!N:N,A202))</f>
        <v/>
      </c>
      <c r="E202" t="str">
        <f t="shared" si="6"/>
        <v/>
      </c>
      <c r="F202" t="str">
        <f>IF(A202="","",_xludf.XLOOKUP(A202,MASTER_RAW_MATERIALS!B:B,MASTER_RAW_MATERIALS!E:E,0))</f>
        <v/>
      </c>
      <c r="G202" t="str">
        <f t="shared" si="7"/>
        <v/>
      </c>
    </row>
    <row r="203" spans="1:7" x14ac:dyDescent="0.2">
      <c r="A203" t="str">
        <f>IF(MASTER_RAW_MATERIALS!B203="","",MASTER_RAW_MATERIALS!B203)</f>
        <v/>
      </c>
      <c r="B203" t="str">
        <f>IF(A203="","",MASTER_RAW_MATERIALS!D203)</f>
        <v/>
      </c>
      <c r="C203" t="str">
        <f>IF(A203="","",SUMIFS(PURCHASES!E:E,PURCHASES!D:D,A203))</f>
        <v/>
      </c>
      <c r="D203" t="str">
        <f>IF(A203="","",SUMIFS(PRODUCTION_REPORT!E:E,PRODUCTION_REPORT!D:D,A203)+SUMIFS(PRODUCTION_REPORT!G:G,PRODUCTION_REPORT!F:F,A203)+SUMIFS(PRODUCTION_REPORT!I:I,PRODUCTION_REPORT!H:H,A203)+SUMIFS(PRODUCTION_REPORT!K:K,PRODUCTION_REPORT!J:J,A203)+SUMIFS(PRODUCTION_REPORT!M:M,PRODUCTION_REPORT!L:L,A203)+SUMIFS(PRODUCTION_REPORT!O:O,PRODUCTION_REPORT!N:N,A203))</f>
        <v/>
      </c>
      <c r="E203" t="str">
        <f t="shared" si="6"/>
        <v/>
      </c>
      <c r="F203" t="str">
        <f>IF(A203="","",_xludf.XLOOKUP(A203,MASTER_RAW_MATERIALS!B:B,MASTER_RAW_MATERIALS!E:E,0))</f>
        <v/>
      </c>
      <c r="G203" t="str">
        <f t="shared" si="7"/>
        <v/>
      </c>
    </row>
    <row r="204" spans="1:7" x14ac:dyDescent="0.2">
      <c r="A204" t="str">
        <f>IF(MASTER_RAW_MATERIALS!B204="","",MASTER_RAW_MATERIALS!B204)</f>
        <v/>
      </c>
      <c r="B204" t="str">
        <f>IF(A204="","",MASTER_RAW_MATERIALS!D204)</f>
        <v/>
      </c>
      <c r="C204" t="str">
        <f>IF(A204="","",SUMIFS(PURCHASES!E:E,PURCHASES!D:D,A204))</f>
        <v/>
      </c>
      <c r="D204" t="str">
        <f>IF(A204="","",SUMIFS(PRODUCTION_REPORT!E:E,PRODUCTION_REPORT!D:D,A204)+SUMIFS(PRODUCTION_REPORT!G:G,PRODUCTION_REPORT!F:F,A204)+SUMIFS(PRODUCTION_REPORT!I:I,PRODUCTION_REPORT!H:H,A204)+SUMIFS(PRODUCTION_REPORT!K:K,PRODUCTION_REPORT!J:J,A204)+SUMIFS(PRODUCTION_REPORT!M:M,PRODUCTION_REPORT!L:L,A204)+SUMIFS(PRODUCTION_REPORT!O:O,PRODUCTION_REPORT!N:N,A204))</f>
        <v/>
      </c>
      <c r="E204" t="str">
        <f t="shared" si="6"/>
        <v/>
      </c>
      <c r="F204" t="str">
        <f>IF(A204="","",_xludf.XLOOKUP(A204,MASTER_RAW_MATERIALS!B:B,MASTER_RAW_MATERIALS!E:E,0))</f>
        <v/>
      </c>
      <c r="G204" t="str">
        <f t="shared" si="7"/>
        <v/>
      </c>
    </row>
    <row r="205" spans="1:7" x14ac:dyDescent="0.2">
      <c r="A205" t="str">
        <f>IF(MASTER_RAW_MATERIALS!B205="","",MASTER_RAW_MATERIALS!B205)</f>
        <v/>
      </c>
      <c r="B205" t="str">
        <f>IF(A205="","",MASTER_RAW_MATERIALS!D205)</f>
        <v/>
      </c>
      <c r="C205" t="str">
        <f>IF(A205="","",SUMIFS(PURCHASES!E:E,PURCHASES!D:D,A205))</f>
        <v/>
      </c>
      <c r="D205" t="str">
        <f>IF(A205="","",SUMIFS(PRODUCTION_REPORT!E:E,PRODUCTION_REPORT!D:D,A205)+SUMIFS(PRODUCTION_REPORT!G:G,PRODUCTION_REPORT!F:F,A205)+SUMIFS(PRODUCTION_REPORT!I:I,PRODUCTION_REPORT!H:H,A205)+SUMIFS(PRODUCTION_REPORT!K:K,PRODUCTION_REPORT!J:J,A205)+SUMIFS(PRODUCTION_REPORT!M:M,PRODUCTION_REPORT!L:L,A205)+SUMIFS(PRODUCTION_REPORT!O:O,PRODUCTION_REPORT!N:N,A205))</f>
        <v/>
      </c>
      <c r="E205" t="str">
        <f t="shared" si="6"/>
        <v/>
      </c>
      <c r="F205" t="str">
        <f>IF(A205="","",_xludf.XLOOKUP(A205,MASTER_RAW_MATERIALS!B:B,MASTER_RAW_MATERIALS!E:E,0))</f>
        <v/>
      </c>
      <c r="G205" t="str">
        <f t="shared" si="7"/>
        <v/>
      </c>
    </row>
    <row r="206" spans="1:7" x14ac:dyDescent="0.2">
      <c r="A206" t="str">
        <f>IF(MASTER_RAW_MATERIALS!B206="","",MASTER_RAW_MATERIALS!B206)</f>
        <v/>
      </c>
      <c r="B206" t="str">
        <f>IF(A206="","",MASTER_RAW_MATERIALS!D206)</f>
        <v/>
      </c>
      <c r="C206" t="str">
        <f>IF(A206="","",SUMIFS(PURCHASES!E:E,PURCHASES!D:D,A206))</f>
        <v/>
      </c>
      <c r="D206" t="str">
        <f>IF(A206="","",SUMIFS(PRODUCTION_REPORT!E:E,PRODUCTION_REPORT!D:D,A206)+SUMIFS(PRODUCTION_REPORT!G:G,PRODUCTION_REPORT!F:F,A206)+SUMIFS(PRODUCTION_REPORT!I:I,PRODUCTION_REPORT!H:H,A206)+SUMIFS(PRODUCTION_REPORT!K:K,PRODUCTION_REPORT!J:J,A206)+SUMIFS(PRODUCTION_REPORT!M:M,PRODUCTION_REPORT!L:L,A206)+SUMIFS(PRODUCTION_REPORT!O:O,PRODUCTION_REPORT!N:N,A206))</f>
        <v/>
      </c>
      <c r="E206" t="str">
        <f t="shared" si="6"/>
        <v/>
      </c>
      <c r="F206" t="str">
        <f>IF(A206="","",_xludf.XLOOKUP(A206,MASTER_RAW_MATERIALS!B:B,MASTER_RAW_MATERIALS!E:E,0))</f>
        <v/>
      </c>
      <c r="G206" t="str">
        <f t="shared" si="7"/>
        <v/>
      </c>
    </row>
    <row r="207" spans="1:7" x14ac:dyDescent="0.2">
      <c r="A207" t="str">
        <f>IF(MASTER_RAW_MATERIALS!B207="","",MASTER_RAW_MATERIALS!B207)</f>
        <v/>
      </c>
      <c r="B207" t="str">
        <f>IF(A207="","",MASTER_RAW_MATERIALS!D207)</f>
        <v/>
      </c>
      <c r="C207" t="str">
        <f>IF(A207="","",SUMIFS(PURCHASES!E:E,PURCHASES!D:D,A207))</f>
        <v/>
      </c>
      <c r="D207" t="str">
        <f>IF(A207="","",SUMIFS(PRODUCTION_REPORT!E:E,PRODUCTION_REPORT!D:D,A207)+SUMIFS(PRODUCTION_REPORT!G:G,PRODUCTION_REPORT!F:F,A207)+SUMIFS(PRODUCTION_REPORT!I:I,PRODUCTION_REPORT!H:H,A207)+SUMIFS(PRODUCTION_REPORT!K:K,PRODUCTION_REPORT!J:J,A207)+SUMIFS(PRODUCTION_REPORT!M:M,PRODUCTION_REPORT!L:L,A207)+SUMIFS(PRODUCTION_REPORT!O:O,PRODUCTION_REPORT!N:N,A207))</f>
        <v/>
      </c>
      <c r="E207" t="str">
        <f t="shared" si="6"/>
        <v/>
      </c>
      <c r="F207" t="str">
        <f>IF(A207="","",_xludf.XLOOKUP(A207,MASTER_RAW_MATERIALS!B:B,MASTER_RAW_MATERIALS!E:E,0))</f>
        <v/>
      </c>
      <c r="G207" t="str">
        <f t="shared" si="7"/>
        <v/>
      </c>
    </row>
    <row r="208" spans="1:7" x14ac:dyDescent="0.2">
      <c r="A208" t="str">
        <f>IF(MASTER_RAW_MATERIALS!B208="","",MASTER_RAW_MATERIALS!B208)</f>
        <v/>
      </c>
      <c r="B208" t="str">
        <f>IF(A208="","",MASTER_RAW_MATERIALS!D208)</f>
        <v/>
      </c>
      <c r="C208" t="str">
        <f>IF(A208="","",SUMIFS(PURCHASES!E:E,PURCHASES!D:D,A208))</f>
        <v/>
      </c>
      <c r="D208" t="str">
        <f>IF(A208="","",SUMIFS(PRODUCTION_REPORT!E:E,PRODUCTION_REPORT!D:D,A208)+SUMIFS(PRODUCTION_REPORT!G:G,PRODUCTION_REPORT!F:F,A208)+SUMIFS(PRODUCTION_REPORT!I:I,PRODUCTION_REPORT!H:H,A208)+SUMIFS(PRODUCTION_REPORT!K:K,PRODUCTION_REPORT!J:J,A208)+SUMIFS(PRODUCTION_REPORT!M:M,PRODUCTION_REPORT!L:L,A208)+SUMIFS(PRODUCTION_REPORT!O:O,PRODUCTION_REPORT!N:N,A208))</f>
        <v/>
      </c>
      <c r="E208" t="str">
        <f t="shared" si="6"/>
        <v/>
      </c>
      <c r="F208" t="str">
        <f>IF(A208="","",_xludf.XLOOKUP(A208,MASTER_RAW_MATERIALS!B:B,MASTER_RAW_MATERIALS!E:E,0))</f>
        <v/>
      </c>
      <c r="G208" t="str">
        <f t="shared" si="7"/>
        <v/>
      </c>
    </row>
    <row r="209" spans="1:7" x14ac:dyDescent="0.2">
      <c r="A209" t="str">
        <f>IF(MASTER_RAW_MATERIALS!B209="","",MASTER_RAW_MATERIALS!B209)</f>
        <v/>
      </c>
      <c r="B209" t="str">
        <f>IF(A209="","",MASTER_RAW_MATERIALS!D209)</f>
        <v/>
      </c>
      <c r="C209" t="str">
        <f>IF(A209="","",SUMIFS(PURCHASES!E:E,PURCHASES!D:D,A209))</f>
        <v/>
      </c>
      <c r="D209" t="str">
        <f>IF(A209="","",SUMIFS(PRODUCTION_REPORT!E:E,PRODUCTION_REPORT!D:D,A209)+SUMIFS(PRODUCTION_REPORT!G:G,PRODUCTION_REPORT!F:F,A209)+SUMIFS(PRODUCTION_REPORT!I:I,PRODUCTION_REPORT!H:H,A209)+SUMIFS(PRODUCTION_REPORT!K:K,PRODUCTION_REPORT!J:J,A209)+SUMIFS(PRODUCTION_REPORT!M:M,PRODUCTION_REPORT!L:L,A209)+SUMIFS(PRODUCTION_REPORT!O:O,PRODUCTION_REPORT!N:N,A209))</f>
        <v/>
      </c>
      <c r="E209" t="str">
        <f t="shared" si="6"/>
        <v/>
      </c>
      <c r="F209" t="str">
        <f>IF(A209="","",_xludf.XLOOKUP(A209,MASTER_RAW_MATERIALS!B:B,MASTER_RAW_MATERIALS!E:E,0))</f>
        <v/>
      </c>
      <c r="G209" t="str">
        <f t="shared" si="7"/>
        <v/>
      </c>
    </row>
    <row r="210" spans="1:7" x14ac:dyDescent="0.2">
      <c r="A210" t="str">
        <f>IF(MASTER_RAW_MATERIALS!B210="","",MASTER_RAW_MATERIALS!B210)</f>
        <v/>
      </c>
      <c r="B210" t="str">
        <f>IF(A210="","",MASTER_RAW_MATERIALS!D210)</f>
        <v/>
      </c>
      <c r="C210" t="str">
        <f>IF(A210="","",SUMIFS(PURCHASES!E:E,PURCHASES!D:D,A210))</f>
        <v/>
      </c>
      <c r="D210" t="str">
        <f>IF(A210="","",SUMIFS(PRODUCTION_REPORT!E:E,PRODUCTION_REPORT!D:D,A210)+SUMIFS(PRODUCTION_REPORT!G:G,PRODUCTION_REPORT!F:F,A210)+SUMIFS(PRODUCTION_REPORT!I:I,PRODUCTION_REPORT!H:H,A210)+SUMIFS(PRODUCTION_REPORT!K:K,PRODUCTION_REPORT!J:J,A210)+SUMIFS(PRODUCTION_REPORT!M:M,PRODUCTION_REPORT!L:L,A210)+SUMIFS(PRODUCTION_REPORT!O:O,PRODUCTION_REPORT!N:N,A210))</f>
        <v/>
      </c>
      <c r="E210" t="str">
        <f t="shared" si="6"/>
        <v/>
      </c>
      <c r="F210" t="str">
        <f>IF(A210="","",_xludf.XLOOKUP(A210,MASTER_RAW_MATERIALS!B:B,MASTER_RAW_MATERIALS!E:E,0))</f>
        <v/>
      </c>
      <c r="G210" t="str">
        <f t="shared" si="7"/>
        <v/>
      </c>
    </row>
    <row r="211" spans="1:7" x14ac:dyDescent="0.2">
      <c r="A211" t="str">
        <f>IF(MASTER_RAW_MATERIALS!B211="","",MASTER_RAW_MATERIALS!B211)</f>
        <v/>
      </c>
      <c r="B211" t="str">
        <f>IF(A211="","",MASTER_RAW_MATERIALS!D211)</f>
        <v/>
      </c>
      <c r="C211" t="str">
        <f>IF(A211="","",SUMIFS(PURCHASES!E:E,PURCHASES!D:D,A211))</f>
        <v/>
      </c>
      <c r="D211" t="str">
        <f>IF(A211="","",SUMIFS(PRODUCTION_REPORT!E:E,PRODUCTION_REPORT!D:D,A211)+SUMIFS(PRODUCTION_REPORT!G:G,PRODUCTION_REPORT!F:F,A211)+SUMIFS(PRODUCTION_REPORT!I:I,PRODUCTION_REPORT!H:H,A211)+SUMIFS(PRODUCTION_REPORT!K:K,PRODUCTION_REPORT!J:J,A211)+SUMIFS(PRODUCTION_REPORT!M:M,PRODUCTION_REPORT!L:L,A211)+SUMIFS(PRODUCTION_REPORT!O:O,PRODUCTION_REPORT!N:N,A211))</f>
        <v/>
      </c>
      <c r="E211" t="str">
        <f t="shared" si="6"/>
        <v/>
      </c>
      <c r="F211" t="str">
        <f>IF(A211="","",_xludf.XLOOKUP(A211,MASTER_RAW_MATERIALS!B:B,MASTER_RAW_MATERIALS!E:E,0))</f>
        <v/>
      </c>
      <c r="G211" t="str">
        <f t="shared" si="7"/>
        <v/>
      </c>
    </row>
    <row r="212" spans="1:7" x14ac:dyDescent="0.2">
      <c r="A212" t="str">
        <f>IF(MASTER_RAW_MATERIALS!B212="","",MASTER_RAW_MATERIALS!B212)</f>
        <v/>
      </c>
      <c r="B212" t="str">
        <f>IF(A212="","",MASTER_RAW_MATERIALS!D212)</f>
        <v/>
      </c>
      <c r="C212" t="str">
        <f>IF(A212="","",SUMIFS(PURCHASES!E:E,PURCHASES!D:D,A212))</f>
        <v/>
      </c>
      <c r="D212" t="str">
        <f>IF(A212="","",SUMIFS(PRODUCTION_REPORT!E:E,PRODUCTION_REPORT!D:D,A212)+SUMIFS(PRODUCTION_REPORT!G:G,PRODUCTION_REPORT!F:F,A212)+SUMIFS(PRODUCTION_REPORT!I:I,PRODUCTION_REPORT!H:H,A212)+SUMIFS(PRODUCTION_REPORT!K:K,PRODUCTION_REPORT!J:J,A212)+SUMIFS(PRODUCTION_REPORT!M:M,PRODUCTION_REPORT!L:L,A212)+SUMIFS(PRODUCTION_REPORT!O:O,PRODUCTION_REPORT!N:N,A212))</f>
        <v/>
      </c>
      <c r="E212" t="str">
        <f t="shared" si="6"/>
        <v/>
      </c>
      <c r="F212" t="str">
        <f>IF(A212="","",_xludf.XLOOKUP(A212,MASTER_RAW_MATERIALS!B:B,MASTER_RAW_MATERIALS!E:E,0))</f>
        <v/>
      </c>
      <c r="G212" t="str">
        <f t="shared" si="7"/>
        <v/>
      </c>
    </row>
    <row r="213" spans="1:7" x14ac:dyDescent="0.2">
      <c r="A213" t="str">
        <f>IF(MASTER_RAW_MATERIALS!B213="","",MASTER_RAW_MATERIALS!B213)</f>
        <v/>
      </c>
      <c r="B213" t="str">
        <f>IF(A213="","",MASTER_RAW_MATERIALS!D213)</f>
        <v/>
      </c>
      <c r="C213" t="str">
        <f>IF(A213="","",SUMIFS(PURCHASES!E:E,PURCHASES!D:D,A213))</f>
        <v/>
      </c>
      <c r="D213" t="str">
        <f>IF(A213="","",SUMIFS(PRODUCTION_REPORT!E:E,PRODUCTION_REPORT!D:D,A213)+SUMIFS(PRODUCTION_REPORT!G:G,PRODUCTION_REPORT!F:F,A213)+SUMIFS(PRODUCTION_REPORT!I:I,PRODUCTION_REPORT!H:H,A213)+SUMIFS(PRODUCTION_REPORT!K:K,PRODUCTION_REPORT!J:J,A213)+SUMIFS(PRODUCTION_REPORT!M:M,PRODUCTION_REPORT!L:L,A213)+SUMIFS(PRODUCTION_REPORT!O:O,PRODUCTION_REPORT!N:N,A213))</f>
        <v/>
      </c>
      <c r="E213" t="str">
        <f t="shared" si="6"/>
        <v/>
      </c>
      <c r="F213" t="str">
        <f>IF(A213="","",_xludf.XLOOKUP(A213,MASTER_RAW_MATERIALS!B:B,MASTER_RAW_MATERIALS!E:E,0))</f>
        <v/>
      </c>
      <c r="G213" t="str">
        <f t="shared" si="7"/>
        <v/>
      </c>
    </row>
    <row r="214" spans="1:7" x14ac:dyDescent="0.2">
      <c r="A214" t="str">
        <f>IF(MASTER_RAW_MATERIALS!B214="","",MASTER_RAW_MATERIALS!B214)</f>
        <v/>
      </c>
      <c r="B214" t="str">
        <f>IF(A214="","",MASTER_RAW_MATERIALS!D214)</f>
        <v/>
      </c>
      <c r="C214" t="str">
        <f>IF(A214="","",SUMIFS(PURCHASES!E:E,PURCHASES!D:D,A214))</f>
        <v/>
      </c>
      <c r="D214" t="str">
        <f>IF(A214="","",SUMIFS(PRODUCTION_REPORT!E:E,PRODUCTION_REPORT!D:D,A214)+SUMIFS(PRODUCTION_REPORT!G:G,PRODUCTION_REPORT!F:F,A214)+SUMIFS(PRODUCTION_REPORT!I:I,PRODUCTION_REPORT!H:H,A214)+SUMIFS(PRODUCTION_REPORT!K:K,PRODUCTION_REPORT!J:J,A214)+SUMIFS(PRODUCTION_REPORT!M:M,PRODUCTION_REPORT!L:L,A214)+SUMIFS(PRODUCTION_REPORT!O:O,PRODUCTION_REPORT!N:N,A214))</f>
        <v/>
      </c>
      <c r="E214" t="str">
        <f t="shared" si="6"/>
        <v/>
      </c>
      <c r="F214" t="str">
        <f>IF(A214="","",_xludf.XLOOKUP(A214,MASTER_RAW_MATERIALS!B:B,MASTER_RAW_MATERIALS!E:E,0))</f>
        <v/>
      </c>
      <c r="G214" t="str">
        <f t="shared" si="7"/>
        <v/>
      </c>
    </row>
    <row r="215" spans="1:7" x14ac:dyDescent="0.2">
      <c r="A215" t="str">
        <f>IF(MASTER_RAW_MATERIALS!B215="","",MASTER_RAW_MATERIALS!B215)</f>
        <v/>
      </c>
      <c r="B215" t="str">
        <f>IF(A215="","",MASTER_RAW_MATERIALS!D215)</f>
        <v/>
      </c>
      <c r="C215" t="str">
        <f>IF(A215="","",SUMIFS(PURCHASES!E:E,PURCHASES!D:D,A215))</f>
        <v/>
      </c>
      <c r="D215" t="str">
        <f>IF(A215="","",SUMIFS(PRODUCTION_REPORT!E:E,PRODUCTION_REPORT!D:D,A215)+SUMIFS(PRODUCTION_REPORT!G:G,PRODUCTION_REPORT!F:F,A215)+SUMIFS(PRODUCTION_REPORT!I:I,PRODUCTION_REPORT!H:H,A215)+SUMIFS(PRODUCTION_REPORT!K:K,PRODUCTION_REPORT!J:J,A215)+SUMIFS(PRODUCTION_REPORT!M:M,PRODUCTION_REPORT!L:L,A215)+SUMIFS(PRODUCTION_REPORT!O:O,PRODUCTION_REPORT!N:N,A215))</f>
        <v/>
      </c>
      <c r="E215" t="str">
        <f t="shared" si="6"/>
        <v/>
      </c>
      <c r="F215" t="str">
        <f>IF(A215="","",_xludf.XLOOKUP(A215,MASTER_RAW_MATERIALS!B:B,MASTER_RAW_MATERIALS!E:E,0))</f>
        <v/>
      </c>
      <c r="G215" t="str">
        <f t="shared" si="7"/>
        <v/>
      </c>
    </row>
    <row r="216" spans="1:7" x14ac:dyDescent="0.2">
      <c r="A216" t="str">
        <f>IF(MASTER_RAW_MATERIALS!B216="","",MASTER_RAW_MATERIALS!B216)</f>
        <v/>
      </c>
      <c r="B216" t="str">
        <f>IF(A216="","",MASTER_RAW_MATERIALS!D216)</f>
        <v/>
      </c>
      <c r="C216" t="str">
        <f>IF(A216="","",SUMIFS(PURCHASES!E:E,PURCHASES!D:D,A216))</f>
        <v/>
      </c>
      <c r="D216" t="str">
        <f>IF(A216="","",SUMIFS(PRODUCTION_REPORT!E:E,PRODUCTION_REPORT!D:D,A216)+SUMIFS(PRODUCTION_REPORT!G:G,PRODUCTION_REPORT!F:F,A216)+SUMIFS(PRODUCTION_REPORT!I:I,PRODUCTION_REPORT!H:H,A216)+SUMIFS(PRODUCTION_REPORT!K:K,PRODUCTION_REPORT!J:J,A216)+SUMIFS(PRODUCTION_REPORT!M:M,PRODUCTION_REPORT!L:L,A216)+SUMIFS(PRODUCTION_REPORT!O:O,PRODUCTION_REPORT!N:N,A216))</f>
        <v/>
      </c>
      <c r="E216" t="str">
        <f t="shared" si="6"/>
        <v/>
      </c>
      <c r="F216" t="str">
        <f>IF(A216="","",_xludf.XLOOKUP(A216,MASTER_RAW_MATERIALS!B:B,MASTER_RAW_MATERIALS!E:E,0))</f>
        <v/>
      </c>
      <c r="G216" t="str">
        <f t="shared" si="7"/>
        <v/>
      </c>
    </row>
    <row r="217" spans="1:7" x14ac:dyDescent="0.2">
      <c r="A217" t="str">
        <f>IF(MASTER_RAW_MATERIALS!B217="","",MASTER_RAW_MATERIALS!B217)</f>
        <v/>
      </c>
      <c r="B217" t="str">
        <f>IF(A217="","",MASTER_RAW_MATERIALS!D217)</f>
        <v/>
      </c>
      <c r="C217" t="str">
        <f>IF(A217="","",SUMIFS(PURCHASES!E:E,PURCHASES!D:D,A217))</f>
        <v/>
      </c>
      <c r="D217" t="str">
        <f>IF(A217="","",SUMIFS(PRODUCTION_REPORT!E:E,PRODUCTION_REPORT!D:D,A217)+SUMIFS(PRODUCTION_REPORT!G:G,PRODUCTION_REPORT!F:F,A217)+SUMIFS(PRODUCTION_REPORT!I:I,PRODUCTION_REPORT!H:H,A217)+SUMIFS(PRODUCTION_REPORT!K:K,PRODUCTION_REPORT!J:J,A217)+SUMIFS(PRODUCTION_REPORT!M:M,PRODUCTION_REPORT!L:L,A217)+SUMIFS(PRODUCTION_REPORT!O:O,PRODUCTION_REPORT!N:N,A217))</f>
        <v/>
      </c>
      <c r="E217" t="str">
        <f t="shared" si="6"/>
        <v/>
      </c>
      <c r="F217" t="str">
        <f>IF(A217="","",_xludf.XLOOKUP(A217,MASTER_RAW_MATERIALS!B:B,MASTER_RAW_MATERIALS!E:E,0))</f>
        <v/>
      </c>
      <c r="G217" t="str">
        <f t="shared" si="7"/>
        <v/>
      </c>
    </row>
    <row r="218" spans="1:7" x14ac:dyDescent="0.2">
      <c r="A218" t="str">
        <f>IF(MASTER_RAW_MATERIALS!B218="","",MASTER_RAW_MATERIALS!B218)</f>
        <v/>
      </c>
      <c r="B218" t="str">
        <f>IF(A218="","",MASTER_RAW_MATERIALS!D218)</f>
        <v/>
      </c>
      <c r="C218" t="str">
        <f>IF(A218="","",SUMIFS(PURCHASES!E:E,PURCHASES!D:D,A218))</f>
        <v/>
      </c>
      <c r="D218" t="str">
        <f>IF(A218="","",SUMIFS(PRODUCTION_REPORT!E:E,PRODUCTION_REPORT!D:D,A218)+SUMIFS(PRODUCTION_REPORT!G:G,PRODUCTION_REPORT!F:F,A218)+SUMIFS(PRODUCTION_REPORT!I:I,PRODUCTION_REPORT!H:H,A218)+SUMIFS(PRODUCTION_REPORT!K:K,PRODUCTION_REPORT!J:J,A218)+SUMIFS(PRODUCTION_REPORT!M:M,PRODUCTION_REPORT!L:L,A218)+SUMIFS(PRODUCTION_REPORT!O:O,PRODUCTION_REPORT!N:N,A218))</f>
        <v/>
      </c>
      <c r="E218" t="str">
        <f t="shared" si="6"/>
        <v/>
      </c>
      <c r="F218" t="str">
        <f>IF(A218="","",_xludf.XLOOKUP(A218,MASTER_RAW_MATERIALS!B:B,MASTER_RAW_MATERIALS!E:E,0))</f>
        <v/>
      </c>
      <c r="G218" t="str">
        <f t="shared" si="7"/>
        <v/>
      </c>
    </row>
    <row r="219" spans="1:7" x14ac:dyDescent="0.2">
      <c r="A219" t="str">
        <f>IF(MASTER_RAW_MATERIALS!B219="","",MASTER_RAW_MATERIALS!B219)</f>
        <v/>
      </c>
      <c r="B219" t="str">
        <f>IF(A219="","",MASTER_RAW_MATERIALS!D219)</f>
        <v/>
      </c>
      <c r="C219" t="str">
        <f>IF(A219="","",SUMIFS(PURCHASES!E:E,PURCHASES!D:D,A219))</f>
        <v/>
      </c>
      <c r="D219" t="str">
        <f>IF(A219="","",SUMIFS(PRODUCTION_REPORT!E:E,PRODUCTION_REPORT!D:D,A219)+SUMIFS(PRODUCTION_REPORT!G:G,PRODUCTION_REPORT!F:F,A219)+SUMIFS(PRODUCTION_REPORT!I:I,PRODUCTION_REPORT!H:H,A219)+SUMIFS(PRODUCTION_REPORT!K:K,PRODUCTION_REPORT!J:J,A219)+SUMIFS(PRODUCTION_REPORT!M:M,PRODUCTION_REPORT!L:L,A219)+SUMIFS(PRODUCTION_REPORT!O:O,PRODUCTION_REPORT!N:N,A219))</f>
        <v/>
      </c>
      <c r="E219" t="str">
        <f t="shared" si="6"/>
        <v/>
      </c>
      <c r="F219" t="str">
        <f>IF(A219="","",_xludf.XLOOKUP(A219,MASTER_RAW_MATERIALS!B:B,MASTER_RAW_MATERIALS!E:E,0))</f>
        <v/>
      </c>
      <c r="G219" t="str">
        <f t="shared" si="7"/>
        <v/>
      </c>
    </row>
    <row r="220" spans="1:7" x14ac:dyDescent="0.2">
      <c r="A220" t="str">
        <f>IF(MASTER_RAW_MATERIALS!B220="","",MASTER_RAW_MATERIALS!B220)</f>
        <v/>
      </c>
      <c r="B220" t="str">
        <f>IF(A220="","",MASTER_RAW_MATERIALS!D220)</f>
        <v/>
      </c>
      <c r="C220" t="str">
        <f>IF(A220="","",SUMIFS(PURCHASES!E:E,PURCHASES!D:D,A220))</f>
        <v/>
      </c>
      <c r="D220" t="str">
        <f>IF(A220="","",SUMIFS(PRODUCTION_REPORT!E:E,PRODUCTION_REPORT!D:D,A220)+SUMIFS(PRODUCTION_REPORT!G:G,PRODUCTION_REPORT!F:F,A220)+SUMIFS(PRODUCTION_REPORT!I:I,PRODUCTION_REPORT!H:H,A220)+SUMIFS(PRODUCTION_REPORT!K:K,PRODUCTION_REPORT!J:J,A220)+SUMIFS(PRODUCTION_REPORT!M:M,PRODUCTION_REPORT!L:L,A220)+SUMIFS(PRODUCTION_REPORT!O:O,PRODUCTION_REPORT!N:N,A220))</f>
        <v/>
      </c>
      <c r="E220" t="str">
        <f t="shared" si="6"/>
        <v/>
      </c>
      <c r="F220" t="str">
        <f>IF(A220="","",_xludf.XLOOKUP(A220,MASTER_RAW_MATERIALS!B:B,MASTER_RAW_MATERIALS!E:E,0))</f>
        <v/>
      </c>
      <c r="G220" t="str">
        <f t="shared" si="7"/>
        <v/>
      </c>
    </row>
    <row r="221" spans="1:7" x14ac:dyDescent="0.2">
      <c r="A221" t="str">
        <f>IF(MASTER_RAW_MATERIALS!B221="","",MASTER_RAW_MATERIALS!B221)</f>
        <v/>
      </c>
      <c r="B221" t="str">
        <f>IF(A221="","",MASTER_RAW_MATERIALS!D221)</f>
        <v/>
      </c>
      <c r="C221" t="str">
        <f>IF(A221="","",SUMIFS(PURCHASES!E:E,PURCHASES!D:D,A221))</f>
        <v/>
      </c>
      <c r="D221" t="str">
        <f>IF(A221="","",SUMIFS(PRODUCTION_REPORT!E:E,PRODUCTION_REPORT!D:D,A221)+SUMIFS(PRODUCTION_REPORT!G:G,PRODUCTION_REPORT!F:F,A221)+SUMIFS(PRODUCTION_REPORT!I:I,PRODUCTION_REPORT!H:H,A221)+SUMIFS(PRODUCTION_REPORT!K:K,PRODUCTION_REPORT!J:J,A221)+SUMIFS(PRODUCTION_REPORT!M:M,PRODUCTION_REPORT!L:L,A221)+SUMIFS(PRODUCTION_REPORT!O:O,PRODUCTION_REPORT!N:N,A221))</f>
        <v/>
      </c>
      <c r="E221" t="str">
        <f t="shared" si="6"/>
        <v/>
      </c>
      <c r="F221" t="str">
        <f>IF(A221="","",_xludf.XLOOKUP(A221,MASTER_RAW_MATERIALS!B:B,MASTER_RAW_MATERIALS!E:E,0))</f>
        <v/>
      </c>
      <c r="G221" t="str">
        <f t="shared" si="7"/>
        <v/>
      </c>
    </row>
    <row r="222" spans="1:7" x14ac:dyDescent="0.2">
      <c r="A222" t="str">
        <f>IF(MASTER_RAW_MATERIALS!B222="","",MASTER_RAW_MATERIALS!B222)</f>
        <v/>
      </c>
      <c r="B222" t="str">
        <f>IF(A222="","",MASTER_RAW_MATERIALS!D222)</f>
        <v/>
      </c>
      <c r="C222" t="str">
        <f>IF(A222="","",SUMIFS(PURCHASES!E:E,PURCHASES!D:D,A222))</f>
        <v/>
      </c>
      <c r="D222" t="str">
        <f>IF(A222="","",SUMIFS(PRODUCTION_REPORT!E:E,PRODUCTION_REPORT!D:D,A222)+SUMIFS(PRODUCTION_REPORT!G:G,PRODUCTION_REPORT!F:F,A222)+SUMIFS(PRODUCTION_REPORT!I:I,PRODUCTION_REPORT!H:H,A222)+SUMIFS(PRODUCTION_REPORT!K:K,PRODUCTION_REPORT!J:J,A222)+SUMIFS(PRODUCTION_REPORT!M:M,PRODUCTION_REPORT!L:L,A222)+SUMIFS(PRODUCTION_REPORT!O:O,PRODUCTION_REPORT!N:N,A222))</f>
        <v/>
      </c>
      <c r="E222" t="str">
        <f t="shared" si="6"/>
        <v/>
      </c>
      <c r="F222" t="str">
        <f>IF(A222="","",_xludf.XLOOKUP(A222,MASTER_RAW_MATERIALS!B:B,MASTER_RAW_MATERIALS!E:E,0))</f>
        <v/>
      </c>
      <c r="G222" t="str">
        <f t="shared" si="7"/>
        <v/>
      </c>
    </row>
    <row r="223" spans="1:7" x14ac:dyDescent="0.2">
      <c r="A223" t="str">
        <f>IF(MASTER_RAW_MATERIALS!B223="","",MASTER_RAW_MATERIALS!B223)</f>
        <v/>
      </c>
      <c r="B223" t="str">
        <f>IF(A223="","",MASTER_RAW_MATERIALS!D223)</f>
        <v/>
      </c>
      <c r="C223" t="str">
        <f>IF(A223="","",SUMIFS(PURCHASES!E:E,PURCHASES!D:D,A223))</f>
        <v/>
      </c>
      <c r="D223" t="str">
        <f>IF(A223="","",SUMIFS(PRODUCTION_REPORT!E:E,PRODUCTION_REPORT!D:D,A223)+SUMIFS(PRODUCTION_REPORT!G:G,PRODUCTION_REPORT!F:F,A223)+SUMIFS(PRODUCTION_REPORT!I:I,PRODUCTION_REPORT!H:H,A223)+SUMIFS(PRODUCTION_REPORT!K:K,PRODUCTION_REPORT!J:J,A223)+SUMIFS(PRODUCTION_REPORT!M:M,PRODUCTION_REPORT!L:L,A223)+SUMIFS(PRODUCTION_REPORT!O:O,PRODUCTION_REPORT!N:N,A223))</f>
        <v/>
      </c>
      <c r="E223" t="str">
        <f t="shared" si="6"/>
        <v/>
      </c>
      <c r="F223" t="str">
        <f>IF(A223="","",_xludf.XLOOKUP(A223,MASTER_RAW_MATERIALS!B:B,MASTER_RAW_MATERIALS!E:E,0))</f>
        <v/>
      </c>
      <c r="G223" t="str">
        <f t="shared" si="7"/>
        <v/>
      </c>
    </row>
    <row r="224" spans="1:7" x14ac:dyDescent="0.2">
      <c r="A224" t="str">
        <f>IF(MASTER_RAW_MATERIALS!B224="","",MASTER_RAW_MATERIALS!B224)</f>
        <v/>
      </c>
      <c r="B224" t="str">
        <f>IF(A224="","",MASTER_RAW_MATERIALS!D224)</f>
        <v/>
      </c>
      <c r="C224" t="str">
        <f>IF(A224="","",SUMIFS(PURCHASES!E:E,PURCHASES!D:D,A224))</f>
        <v/>
      </c>
      <c r="D224" t="str">
        <f>IF(A224="","",SUMIFS(PRODUCTION_REPORT!E:E,PRODUCTION_REPORT!D:D,A224)+SUMIFS(PRODUCTION_REPORT!G:G,PRODUCTION_REPORT!F:F,A224)+SUMIFS(PRODUCTION_REPORT!I:I,PRODUCTION_REPORT!H:H,A224)+SUMIFS(PRODUCTION_REPORT!K:K,PRODUCTION_REPORT!J:J,A224)+SUMIFS(PRODUCTION_REPORT!M:M,PRODUCTION_REPORT!L:L,A224)+SUMIFS(PRODUCTION_REPORT!O:O,PRODUCTION_REPORT!N:N,A224))</f>
        <v/>
      </c>
      <c r="E224" t="str">
        <f t="shared" si="6"/>
        <v/>
      </c>
      <c r="F224" t="str">
        <f>IF(A224="","",_xludf.XLOOKUP(A224,MASTER_RAW_MATERIALS!B:B,MASTER_RAW_MATERIALS!E:E,0))</f>
        <v/>
      </c>
      <c r="G224" t="str">
        <f t="shared" si="7"/>
        <v/>
      </c>
    </row>
    <row r="225" spans="1:7" x14ac:dyDescent="0.2">
      <c r="A225" t="str">
        <f>IF(MASTER_RAW_MATERIALS!B225="","",MASTER_RAW_MATERIALS!B225)</f>
        <v/>
      </c>
      <c r="B225" t="str">
        <f>IF(A225="","",MASTER_RAW_MATERIALS!D225)</f>
        <v/>
      </c>
      <c r="C225" t="str">
        <f>IF(A225="","",SUMIFS(PURCHASES!E:E,PURCHASES!D:D,A225))</f>
        <v/>
      </c>
      <c r="D225" t="str">
        <f>IF(A225="","",SUMIFS(PRODUCTION_REPORT!E:E,PRODUCTION_REPORT!D:D,A225)+SUMIFS(PRODUCTION_REPORT!G:G,PRODUCTION_REPORT!F:F,A225)+SUMIFS(PRODUCTION_REPORT!I:I,PRODUCTION_REPORT!H:H,A225)+SUMIFS(PRODUCTION_REPORT!K:K,PRODUCTION_REPORT!J:J,A225)+SUMIFS(PRODUCTION_REPORT!M:M,PRODUCTION_REPORT!L:L,A225)+SUMIFS(PRODUCTION_REPORT!O:O,PRODUCTION_REPORT!N:N,A225))</f>
        <v/>
      </c>
      <c r="E225" t="str">
        <f t="shared" si="6"/>
        <v/>
      </c>
      <c r="F225" t="str">
        <f>IF(A225="","",_xludf.XLOOKUP(A225,MASTER_RAW_MATERIALS!B:B,MASTER_RAW_MATERIALS!E:E,0))</f>
        <v/>
      </c>
      <c r="G225" t="str">
        <f t="shared" si="7"/>
        <v/>
      </c>
    </row>
    <row r="226" spans="1:7" x14ac:dyDescent="0.2">
      <c r="A226" t="str">
        <f>IF(MASTER_RAW_MATERIALS!B226="","",MASTER_RAW_MATERIALS!B226)</f>
        <v/>
      </c>
      <c r="B226" t="str">
        <f>IF(A226="","",MASTER_RAW_MATERIALS!D226)</f>
        <v/>
      </c>
      <c r="C226" t="str">
        <f>IF(A226="","",SUMIFS(PURCHASES!E:E,PURCHASES!D:D,A226))</f>
        <v/>
      </c>
      <c r="D226" t="str">
        <f>IF(A226="","",SUMIFS(PRODUCTION_REPORT!E:E,PRODUCTION_REPORT!D:D,A226)+SUMIFS(PRODUCTION_REPORT!G:G,PRODUCTION_REPORT!F:F,A226)+SUMIFS(PRODUCTION_REPORT!I:I,PRODUCTION_REPORT!H:H,A226)+SUMIFS(PRODUCTION_REPORT!K:K,PRODUCTION_REPORT!J:J,A226)+SUMIFS(PRODUCTION_REPORT!M:M,PRODUCTION_REPORT!L:L,A226)+SUMIFS(PRODUCTION_REPORT!O:O,PRODUCTION_REPORT!N:N,A226))</f>
        <v/>
      </c>
      <c r="E226" t="str">
        <f t="shared" si="6"/>
        <v/>
      </c>
      <c r="F226" t="str">
        <f>IF(A226="","",_xludf.XLOOKUP(A226,MASTER_RAW_MATERIALS!B:B,MASTER_RAW_MATERIALS!E:E,0))</f>
        <v/>
      </c>
      <c r="G226" t="str">
        <f t="shared" si="7"/>
        <v/>
      </c>
    </row>
    <row r="227" spans="1:7" x14ac:dyDescent="0.2">
      <c r="A227" t="str">
        <f>IF(MASTER_RAW_MATERIALS!B227="","",MASTER_RAW_MATERIALS!B227)</f>
        <v/>
      </c>
      <c r="B227" t="str">
        <f>IF(A227="","",MASTER_RAW_MATERIALS!D227)</f>
        <v/>
      </c>
      <c r="C227" t="str">
        <f>IF(A227="","",SUMIFS(PURCHASES!E:E,PURCHASES!D:D,A227))</f>
        <v/>
      </c>
      <c r="D227" t="str">
        <f>IF(A227="","",SUMIFS(PRODUCTION_REPORT!E:E,PRODUCTION_REPORT!D:D,A227)+SUMIFS(PRODUCTION_REPORT!G:G,PRODUCTION_REPORT!F:F,A227)+SUMIFS(PRODUCTION_REPORT!I:I,PRODUCTION_REPORT!H:H,A227)+SUMIFS(PRODUCTION_REPORT!K:K,PRODUCTION_REPORT!J:J,A227)+SUMIFS(PRODUCTION_REPORT!M:M,PRODUCTION_REPORT!L:L,A227)+SUMIFS(PRODUCTION_REPORT!O:O,PRODUCTION_REPORT!N:N,A227))</f>
        <v/>
      </c>
      <c r="E227" t="str">
        <f t="shared" si="6"/>
        <v/>
      </c>
      <c r="F227" t="str">
        <f>IF(A227="","",_xludf.XLOOKUP(A227,MASTER_RAW_MATERIALS!B:B,MASTER_RAW_MATERIALS!E:E,0))</f>
        <v/>
      </c>
      <c r="G227" t="str">
        <f t="shared" si="7"/>
        <v/>
      </c>
    </row>
    <row r="228" spans="1:7" x14ac:dyDescent="0.2">
      <c r="A228" t="str">
        <f>IF(MASTER_RAW_MATERIALS!B228="","",MASTER_RAW_MATERIALS!B228)</f>
        <v/>
      </c>
      <c r="B228" t="str">
        <f>IF(A228="","",MASTER_RAW_MATERIALS!D228)</f>
        <v/>
      </c>
      <c r="C228" t="str">
        <f>IF(A228="","",SUMIFS(PURCHASES!E:E,PURCHASES!D:D,A228))</f>
        <v/>
      </c>
      <c r="D228" t="str">
        <f>IF(A228="","",SUMIFS(PRODUCTION_REPORT!E:E,PRODUCTION_REPORT!D:D,A228)+SUMIFS(PRODUCTION_REPORT!G:G,PRODUCTION_REPORT!F:F,A228)+SUMIFS(PRODUCTION_REPORT!I:I,PRODUCTION_REPORT!H:H,A228)+SUMIFS(PRODUCTION_REPORT!K:K,PRODUCTION_REPORT!J:J,A228)+SUMIFS(PRODUCTION_REPORT!M:M,PRODUCTION_REPORT!L:L,A228)+SUMIFS(PRODUCTION_REPORT!O:O,PRODUCTION_REPORT!N:N,A228))</f>
        <v/>
      </c>
      <c r="E228" t="str">
        <f t="shared" si="6"/>
        <v/>
      </c>
      <c r="F228" t="str">
        <f>IF(A228="","",_xludf.XLOOKUP(A228,MASTER_RAW_MATERIALS!B:B,MASTER_RAW_MATERIALS!E:E,0))</f>
        <v/>
      </c>
      <c r="G228" t="str">
        <f t="shared" si="7"/>
        <v/>
      </c>
    </row>
    <row r="229" spans="1:7" x14ac:dyDescent="0.2">
      <c r="A229" t="str">
        <f>IF(MASTER_RAW_MATERIALS!B229="","",MASTER_RAW_MATERIALS!B229)</f>
        <v/>
      </c>
      <c r="B229" t="str">
        <f>IF(A229="","",MASTER_RAW_MATERIALS!D229)</f>
        <v/>
      </c>
      <c r="C229" t="str">
        <f>IF(A229="","",SUMIFS(PURCHASES!E:E,PURCHASES!D:D,A229))</f>
        <v/>
      </c>
      <c r="D229" t="str">
        <f>IF(A229="","",SUMIFS(PRODUCTION_REPORT!E:E,PRODUCTION_REPORT!D:D,A229)+SUMIFS(PRODUCTION_REPORT!G:G,PRODUCTION_REPORT!F:F,A229)+SUMIFS(PRODUCTION_REPORT!I:I,PRODUCTION_REPORT!H:H,A229)+SUMIFS(PRODUCTION_REPORT!K:K,PRODUCTION_REPORT!J:J,A229)+SUMIFS(PRODUCTION_REPORT!M:M,PRODUCTION_REPORT!L:L,A229)+SUMIFS(PRODUCTION_REPORT!O:O,PRODUCTION_REPORT!N:N,A229))</f>
        <v/>
      </c>
      <c r="E229" t="str">
        <f t="shared" si="6"/>
        <v/>
      </c>
      <c r="F229" t="str">
        <f>IF(A229="","",_xludf.XLOOKUP(A229,MASTER_RAW_MATERIALS!B:B,MASTER_RAW_MATERIALS!E:E,0))</f>
        <v/>
      </c>
      <c r="G229" t="str">
        <f t="shared" si="7"/>
        <v/>
      </c>
    </row>
    <row r="230" spans="1:7" x14ac:dyDescent="0.2">
      <c r="A230" t="str">
        <f>IF(MASTER_RAW_MATERIALS!B230="","",MASTER_RAW_MATERIALS!B230)</f>
        <v/>
      </c>
      <c r="B230" t="str">
        <f>IF(A230="","",MASTER_RAW_MATERIALS!D230)</f>
        <v/>
      </c>
      <c r="C230" t="str">
        <f>IF(A230="","",SUMIFS(PURCHASES!E:E,PURCHASES!D:D,A230))</f>
        <v/>
      </c>
      <c r="D230" t="str">
        <f>IF(A230="","",SUMIFS(PRODUCTION_REPORT!E:E,PRODUCTION_REPORT!D:D,A230)+SUMIFS(PRODUCTION_REPORT!G:G,PRODUCTION_REPORT!F:F,A230)+SUMIFS(PRODUCTION_REPORT!I:I,PRODUCTION_REPORT!H:H,A230)+SUMIFS(PRODUCTION_REPORT!K:K,PRODUCTION_REPORT!J:J,A230)+SUMIFS(PRODUCTION_REPORT!M:M,PRODUCTION_REPORT!L:L,A230)+SUMIFS(PRODUCTION_REPORT!O:O,PRODUCTION_REPORT!N:N,A230))</f>
        <v/>
      </c>
      <c r="E230" t="str">
        <f t="shared" si="6"/>
        <v/>
      </c>
      <c r="F230" t="str">
        <f>IF(A230="","",_xludf.XLOOKUP(A230,MASTER_RAW_MATERIALS!B:B,MASTER_RAW_MATERIALS!E:E,0))</f>
        <v/>
      </c>
      <c r="G230" t="str">
        <f t="shared" si="7"/>
        <v/>
      </c>
    </row>
    <row r="231" spans="1:7" x14ac:dyDescent="0.2">
      <c r="A231" t="str">
        <f>IF(MASTER_RAW_MATERIALS!B231="","",MASTER_RAW_MATERIALS!B231)</f>
        <v/>
      </c>
      <c r="B231" t="str">
        <f>IF(A231="","",MASTER_RAW_MATERIALS!D231)</f>
        <v/>
      </c>
      <c r="C231" t="str">
        <f>IF(A231="","",SUMIFS(PURCHASES!E:E,PURCHASES!D:D,A231))</f>
        <v/>
      </c>
      <c r="D231" t="str">
        <f>IF(A231="","",SUMIFS(PRODUCTION_REPORT!E:E,PRODUCTION_REPORT!D:D,A231)+SUMIFS(PRODUCTION_REPORT!G:G,PRODUCTION_REPORT!F:F,A231)+SUMIFS(PRODUCTION_REPORT!I:I,PRODUCTION_REPORT!H:H,A231)+SUMIFS(PRODUCTION_REPORT!K:K,PRODUCTION_REPORT!J:J,A231)+SUMIFS(PRODUCTION_REPORT!M:M,PRODUCTION_REPORT!L:L,A231)+SUMIFS(PRODUCTION_REPORT!O:O,PRODUCTION_REPORT!N:N,A231))</f>
        <v/>
      </c>
      <c r="E231" t="str">
        <f t="shared" si="6"/>
        <v/>
      </c>
      <c r="F231" t="str">
        <f>IF(A231="","",_xludf.XLOOKUP(A231,MASTER_RAW_MATERIALS!B:B,MASTER_RAW_MATERIALS!E:E,0))</f>
        <v/>
      </c>
      <c r="G231" t="str">
        <f t="shared" si="7"/>
        <v/>
      </c>
    </row>
    <row r="232" spans="1:7" x14ac:dyDescent="0.2">
      <c r="A232" t="str">
        <f>IF(MASTER_RAW_MATERIALS!B232="","",MASTER_RAW_MATERIALS!B232)</f>
        <v/>
      </c>
      <c r="B232" t="str">
        <f>IF(A232="","",MASTER_RAW_MATERIALS!D232)</f>
        <v/>
      </c>
      <c r="C232" t="str">
        <f>IF(A232="","",SUMIFS(PURCHASES!E:E,PURCHASES!D:D,A232))</f>
        <v/>
      </c>
      <c r="D232" t="str">
        <f>IF(A232="","",SUMIFS(PRODUCTION_REPORT!E:E,PRODUCTION_REPORT!D:D,A232)+SUMIFS(PRODUCTION_REPORT!G:G,PRODUCTION_REPORT!F:F,A232)+SUMIFS(PRODUCTION_REPORT!I:I,PRODUCTION_REPORT!H:H,A232)+SUMIFS(PRODUCTION_REPORT!K:K,PRODUCTION_REPORT!J:J,A232)+SUMIFS(PRODUCTION_REPORT!M:M,PRODUCTION_REPORT!L:L,A232)+SUMIFS(PRODUCTION_REPORT!O:O,PRODUCTION_REPORT!N:N,A232))</f>
        <v/>
      </c>
      <c r="E232" t="str">
        <f t="shared" si="6"/>
        <v/>
      </c>
      <c r="F232" t="str">
        <f>IF(A232="","",_xludf.XLOOKUP(A232,MASTER_RAW_MATERIALS!B:B,MASTER_RAW_MATERIALS!E:E,0))</f>
        <v/>
      </c>
      <c r="G232" t="str">
        <f t="shared" si="7"/>
        <v/>
      </c>
    </row>
    <row r="233" spans="1:7" x14ac:dyDescent="0.2">
      <c r="A233" t="str">
        <f>IF(MASTER_RAW_MATERIALS!B233="","",MASTER_RAW_MATERIALS!B233)</f>
        <v/>
      </c>
      <c r="B233" t="str">
        <f>IF(A233="","",MASTER_RAW_MATERIALS!D233)</f>
        <v/>
      </c>
      <c r="C233" t="str">
        <f>IF(A233="","",SUMIFS(PURCHASES!E:E,PURCHASES!D:D,A233))</f>
        <v/>
      </c>
      <c r="D233" t="str">
        <f>IF(A233="","",SUMIFS(PRODUCTION_REPORT!E:E,PRODUCTION_REPORT!D:D,A233)+SUMIFS(PRODUCTION_REPORT!G:G,PRODUCTION_REPORT!F:F,A233)+SUMIFS(PRODUCTION_REPORT!I:I,PRODUCTION_REPORT!H:H,A233)+SUMIFS(PRODUCTION_REPORT!K:K,PRODUCTION_REPORT!J:J,A233)+SUMIFS(PRODUCTION_REPORT!M:M,PRODUCTION_REPORT!L:L,A233)+SUMIFS(PRODUCTION_REPORT!O:O,PRODUCTION_REPORT!N:N,A233))</f>
        <v/>
      </c>
      <c r="E233" t="str">
        <f t="shared" si="6"/>
        <v/>
      </c>
      <c r="F233" t="str">
        <f>IF(A233="","",_xludf.XLOOKUP(A233,MASTER_RAW_MATERIALS!B:B,MASTER_RAW_MATERIALS!E:E,0))</f>
        <v/>
      </c>
      <c r="G233" t="str">
        <f t="shared" si="7"/>
        <v/>
      </c>
    </row>
    <row r="234" spans="1:7" x14ac:dyDescent="0.2">
      <c r="A234" t="str">
        <f>IF(MASTER_RAW_MATERIALS!B234="","",MASTER_RAW_MATERIALS!B234)</f>
        <v/>
      </c>
      <c r="B234" t="str">
        <f>IF(A234="","",MASTER_RAW_MATERIALS!D234)</f>
        <v/>
      </c>
      <c r="C234" t="str">
        <f>IF(A234="","",SUMIFS(PURCHASES!E:E,PURCHASES!D:D,A234))</f>
        <v/>
      </c>
      <c r="D234" t="str">
        <f>IF(A234="","",SUMIFS(PRODUCTION_REPORT!E:E,PRODUCTION_REPORT!D:D,A234)+SUMIFS(PRODUCTION_REPORT!G:G,PRODUCTION_REPORT!F:F,A234)+SUMIFS(PRODUCTION_REPORT!I:I,PRODUCTION_REPORT!H:H,A234)+SUMIFS(PRODUCTION_REPORT!K:K,PRODUCTION_REPORT!J:J,A234)+SUMIFS(PRODUCTION_REPORT!M:M,PRODUCTION_REPORT!L:L,A234)+SUMIFS(PRODUCTION_REPORT!O:O,PRODUCTION_REPORT!N:N,A234))</f>
        <v/>
      </c>
      <c r="E234" t="str">
        <f t="shared" si="6"/>
        <v/>
      </c>
      <c r="F234" t="str">
        <f>IF(A234="","",_xludf.XLOOKUP(A234,MASTER_RAW_MATERIALS!B:B,MASTER_RAW_MATERIALS!E:E,0))</f>
        <v/>
      </c>
      <c r="G234" t="str">
        <f t="shared" si="7"/>
        <v/>
      </c>
    </row>
    <row r="235" spans="1:7" x14ac:dyDescent="0.2">
      <c r="A235" t="str">
        <f>IF(MASTER_RAW_MATERIALS!B235="","",MASTER_RAW_MATERIALS!B235)</f>
        <v/>
      </c>
      <c r="B235" t="str">
        <f>IF(A235="","",MASTER_RAW_MATERIALS!D235)</f>
        <v/>
      </c>
      <c r="C235" t="str">
        <f>IF(A235="","",SUMIFS(PURCHASES!E:E,PURCHASES!D:D,A235))</f>
        <v/>
      </c>
      <c r="D235" t="str">
        <f>IF(A235="","",SUMIFS(PRODUCTION_REPORT!E:E,PRODUCTION_REPORT!D:D,A235)+SUMIFS(PRODUCTION_REPORT!G:G,PRODUCTION_REPORT!F:F,A235)+SUMIFS(PRODUCTION_REPORT!I:I,PRODUCTION_REPORT!H:H,A235)+SUMIFS(PRODUCTION_REPORT!K:K,PRODUCTION_REPORT!J:J,A235)+SUMIFS(PRODUCTION_REPORT!M:M,PRODUCTION_REPORT!L:L,A235)+SUMIFS(PRODUCTION_REPORT!O:O,PRODUCTION_REPORT!N:N,A235))</f>
        <v/>
      </c>
      <c r="E235" t="str">
        <f t="shared" si="6"/>
        <v/>
      </c>
      <c r="F235" t="str">
        <f>IF(A235="","",_xludf.XLOOKUP(A235,MASTER_RAW_MATERIALS!B:B,MASTER_RAW_MATERIALS!E:E,0))</f>
        <v/>
      </c>
      <c r="G235" t="str">
        <f t="shared" si="7"/>
        <v/>
      </c>
    </row>
    <row r="236" spans="1:7" x14ac:dyDescent="0.2">
      <c r="A236" t="str">
        <f>IF(MASTER_RAW_MATERIALS!B236="","",MASTER_RAW_MATERIALS!B236)</f>
        <v/>
      </c>
      <c r="B236" t="str">
        <f>IF(A236="","",MASTER_RAW_MATERIALS!D236)</f>
        <v/>
      </c>
      <c r="C236" t="str">
        <f>IF(A236="","",SUMIFS(PURCHASES!E:E,PURCHASES!D:D,A236))</f>
        <v/>
      </c>
      <c r="D236" t="str">
        <f>IF(A236="","",SUMIFS(PRODUCTION_REPORT!E:E,PRODUCTION_REPORT!D:D,A236)+SUMIFS(PRODUCTION_REPORT!G:G,PRODUCTION_REPORT!F:F,A236)+SUMIFS(PRODUCTION_REPORT!I:I,PRODUCTION_REPORT!H:H,A236)+SUMIFS(PRODUCTION_REPORT!K:K,PRODUCTION_REPORT!J:J,A236)+SUMIFS(PRODUCTION_REPORT!M:M,PRODUCTION_REPORT!L:L,A236)+SUMIFS(PRODUCTION_REPORT!O:O,PRODUCTION_REPORT!N:N,A236))</f>
        <v/>
      </c>
      <c r="E236" t="str">
        <f t="shared" si="6"/>
        <v/>
      </c>
      <c r="F236" t="str">
        <f>IF(A236="","",_xludf.XLOOKUP(A236,MASTER_RAW_MATERIALS!B:B,MASTER_RAW_MATERIALS!E:E,0))</f>
        <v/>
      </c>
      <c r="G236" t="str">
        <f t="shared" si="7"/>
        <v/>
      </c>
    </row>
    <row r="237" spans="1:7" x14ac:dyDescent="0.2">
      <c r="A237" t="str">
        <f>IF(MASTER_RAW_MATERIALS!B237="","",MASTER_RAW_MATERIALS!B237)</f>
        <v/>
      </c>
      <c r="B237" t="str">
        <f>IF(A237="","",MASTER_RAW_MATERIALS!D237)</f>
        <v/>
      </c>
      <c r="C237" t="str">
        <f>IF(A237="","",SUMIFS(PURCHASES!E:E,PURCHASES!D:D,A237))</f>
        <v/>
      </c>
      <c r="D237" t="str">
        <f>IF(A237="","",SUMIFS(PRODUCTION_REPORT!E:E,PRODUCTION_REPORT!D:D,A237)+SUMIFS(PRODUCTION_REPORT!G:G,PRODUCTION_REPORT!F:F,A237)+SUMIFS(PRODUCTION_REPORT!I:I,PRODUCTION_REPORT!H:H,A237)+SUMIFS(PRODUCTION_REPORT!K:K,PRODUCTION_REPORT!J:J,A237)+SUMIFS(PRODUCTION_REPORT!M:M,PRODUCTION_REPORT!L:L,A237)+SUMIFS(PRODUCTION_REPORT!O:O,PRODUCTION_REPORT!N:N,A237))</f>
        <v/>
      </c>
      <c r="E237" t="str">
        <f t="shared" si="6"/>
        <v/>
      </c>
      <c r="F237" t="str">
        <f>IF(A237="","",_xludf.XLOOKUP(A237,MASTER_RAW_MATERIALS!B:B,MASTER_RAW_MATERIALS!E:E,0))</f>
        <v/>
      </c>
      <c r="G237" t="str">
        <f t="shared" si="7"/>
        <v/>
      </c>
    </row>
    <row r="238" spans="1:7" x14ac:dyDescent="0.2">
      <c r="A238" t="str">
        <f>IF(MASTER_RAW_MATERIALS!B238="","",MASTER_RAW_MATERIALS!B238)</f>
        <v/>
      </c>
      <c r="B238" t="str">
        <f>IF(A238="","",MASTER_RAW_MATERIALS!D238)</f>
        <v/>
      </c>
      <c r="C238" t="str">
        <f>IF(A238="","",SUMIFS(PURCHASES!E:E,PURCHASES!D:D,A238))</f>
        <v/>
      </c>
      <c r="D238" t="str">
        <f>IF(A238="","",SUMIFS(PRODUCTION_REPORT!E:E,PRODUCTION_REPORT!D:D,A238)+SUMIFS(PRODUCTION_REPORT!G:G,PRODUCTION_REPORT!F:F,A238)+SUMIFS(PRODUCTION_REPORT!I:I,PRODUCTION_REPORT!H:H,A238)+SUMIFS(PRODUCTION_REPORT!K:K,PRODUCTION_REPORT!J:J,A238)+SUMIFS(PRODUCTION_REPORT!M:M,PRODUCTION_REPORT!L:L,A238)+SUMIFS(PRODUCTION_REPORT!O:O,PRODUCTION_REPORT!N:N,A238))</f>
        <v/>
      </c>
      <c r="E238" t="str">
        <f t="shared" si="6"/>
        <v/>
      </c>
      <c r="F238" t="str">
        <f>IF(A238="","",_xludf.XLOOKUP(A238,MASTER_RAW_MATERIALS!B:B,MASTER_RAW_MATERIALS!E:E,0))</f>
        <v/>
      </c>
      <c r="G238" t="str">
        <f t="shared" si="7"/>
        <v/>
      </c>
    </row>
    <row r="239" spans="1:7" x14ac:dyDescent="0.2">
      <c r="A239" t="str">
        <f>IF(MASTER_RAW_MATERIALS!B239="","",MASTER_RAW_MATERIALS!B239)</f>
        <v/>
      </c>
      <c r="B239" t="str">
        <f>IF(A239="","",MASTER_RAW_MATERIALS!D239)</f>
        <v/>
      </c>
      <c r="C239" t="str">
        <f>IF(A239="","",SUMIFS(PURCHASES!E:E,PURCHASES!D:D,A239))</f>
        <v/>
      </c>
      <c r="D239" t="str">
        <f>IF(A239="","",SUMIFS(PRODUCTION_REPORT!E:E,PRODUCTION_REPORT!D:D,A239)+SUMIFS(PRODUCTION_REPORT!G:G,PRODUCTION_REPORT!F:F,A239)+SUMIFS(PRODUCTION_REPORT!I:I,PRODUCTION_REPORT!H:H,A239)+SUMIFS(PRODUCTION_REPORT!K:K,PRODUCTION_REPORT!J:J,A239)+SUMIFS(PRODUCTION_REPORT!M:M,PRODUCTION_REPORT!L:L,A239)+SUMIFS(PRODUCTION_REPORT!O:O,PRODUCTION_REPORT!N:N,A239))</f>
        <v/>
      </c>
      <c r="E239" t="str">
        <f t="shared" si="6"/>
        <v/>
      </c>
      <c r="F239" t="str">
        <f>IF(A239="","",_xludf.XLOOKUP(A239,MASTER_RAW_MATERIALS!B:B,MASTER_RAW_MATERIALS!E:E,0))</f>
        <v/>
      </c>
      <c r="G239" t="str">
        <f t="shared" si="7"/>
        <v/>
      </c>
    </row>
    <row r="240" spans="1:7" x14ac:dyDescent="0.2">
      <c r="A240" t="str">
        <f>IF(MASTER_RAW_MATERIALS!B240="","",MASTER_RAW_MATERIALS!B240)</f>
        <v/>
      </c>
      <c r="B240" t="str">
        <f>IF(A240="","",MASTER_RAW_MATERIALS!D240)</f>
        <v/>
      </c>
      <c r="C240" t="str">
        <f>IF(A240="","",SUMIFS(PURCHASES!E:E,PURCHASES!D:D,A240))</f>
        <v/>
      </c>
      <c r="D240" t="str">
        <f>IF(A240="","",SUMIFS(PRODUCTION_REPORT!E:E,PRODUCTION_REPORT!D:D,A240)+SUMIFS(PRODUCTION_REPORT!G:G,PRODUCTION_REPORT!F:F,A240)+SUMIFS(PRODUCTION_REPORT!I:I,PRODUCTION_REPORT!H:H,A240)+SUMIFS(PRODUCTION_REPORT!K:K,PRODUCTION_REPORT!J:J,A240)+SUMIFS(PRODUCTION_REPORT!M:M,PRODUCTION_REPORT!L:L,A240)+SUMIFS(PRODUCTION_REPORT!O:O,PRODUCTION_REPORT!N:N,A240))</f>
        <v/>
      </c>
      <c r="E240" t="str">
        <f t="shared" si="6"/>
        <v/>
      </c>
      <c r="F240" t="str">
        <f>IF(A240="","",_xludf.XLOOKUP(A240,MASTER_RAW_MATERIALS!B:B,MASTER_RAW_MATERIALS!E:E,0))</f>
        <v/>
      </c>
      <c r="G240" t="str">
        <f t="shared" si="7"/>
        <v/>
      </c>
    </row>
    <row r="241" spans="1:7" x14ac:dyDescent="0.2">
      <c r="A241" t="str">
        <f>IF(MASTER_RAW_MATERIALS!B241="","",MASTER_RAW_MATERIALS!B241)</f>
        <v/>
      </c>
      <c r="B241" t="str">
        <f>IF(A241="","",MASTER_RAW_MATERIALS!D241)</f>
        <v/>
      </c>
      <c r="C241" t="str">
        <f>IF(A241="","",SUMIFS(PURCHASES!E:E,PURCHASES!D:D,A241))</f>
        <v/>
      </c>
      <c r="D241" t="str">
        <f>IF(A241="","",SUMIFS(PRODUCTION_REPORT!E:E,PRODUCTION_REPORT!D:D,A241)+SUMIFS(PRODUCTION_REPORT!G:G,PRODUCTION_REPORT!F:F,A241)+SUMIFS(PRODUCTION_REPORT!I:I,PRODUCTION_REPORT!H:H,A241)+SUMIFS(PRODUCTION_REPORT!K:K,PRODUCTION_REPORT!J:J,A241)+SUMIFS(PRODUCTION_REPORT!M:M,PRODUCTION_REPORT!L:L,A241)+SUMIFS(PRODUCTION_REPORT!O:O,PRODUCTION_REPORT!N:N,A241))</f>
        <v/>
      </c>
      <c r="E241" t="str">
        <f t="shared" si="6"/>
        <v/>
      </c>
      <c r="F241" t="str">
        <f>IF(A241="","",_xludf.XLOOKUP(A241,MASTER_RAW_MATERIALS!B:B,MASTER_RAW_MATERIALS!E:E,0))</f>
        <v/>
      </c>
      <c r="G241" t="str">
        <f t="shared" si="7"/>
        <v/>
      </c>
    </row>
    <row r="242" spans="1:7" x14ac:dyDescent="0.2">
      <c r="A242" t="str">
        <f>IF(MASTER_RAW_MATERIALS!B242="","",MASTER_RAW_MATERIALS!B242)</f>
        <v/>
      </c>
      <c r="B242" t="str">
        <f>IF(A242="","",MASTER_RAW_MATERIALS!D242)</f>
        <v/>
      </c>
      <c r="C242" t="str">
        <f>IF(A242="","",SUMIFS(PURCHASES!E:E,PURCHASES!D:D,A242))</f>
        <v/>
      </c>
      <c r="D242" t="str">
        <f>IF(A242="","",SUMIFS(PRODUCTION_REPORT!E:E,PRODUCTION_REPORT!D:D,A242)+SUMIFS(PRODUCTION_REPORT!G:G,PRODUCTION_REPORT!F:F,A242)+SUMIFS(PRODUCTION_REPORT!I:I,PRODUCTION_REPORT!H:H,A242)+SUMIFS(PRODUCTION_REPORT!K:K,PRODUCTION_REPORT!J:J,A242)+SUMIFS(PRODUCTION_REPORT!M:M,PRODUCTION_REPORT!L:L,A242)+SUMIFS(PRODUCTION_REPORT!O:O,PRODUCTION_REPORT!N:N,A242))</f>
        <v/>
      </c>
      <c r="E242" t="str">
        <f t="shared" si="6"/>
        <v/>
      </c>
      <c r="F242" t="str">
        <f>IF(A242="","",_xludf.XLOOKUP(A242,MASTER_RAW_MATERIALS!B:B,MASTER_RAW_MATERIALS!E:E,0))</f>
        <v/>
      </c>
      <c r="G242" t="str">
        <f t="shared" si="7"/>
        <v/>
      </c>
    </row>
    <row r="243" spans="1:7" x14ac:dyDescent="0.2">
      <c r="A243" t="str">
        <f>IF(MASTER_RAW_MATERIALS!B243="","",MASTER_RAW_MATERIALS!B243)</f>
        <v/>
      </c>
      <c r="B243" t="str">
        <f>IF(A243="","",MASTER_RAW_MATERIALS!D243)</f>
        <v/>
      </c>
      <c r="C243" t="str">
        <f>IF(A243="","",SUMIFS(PURCHASES!E:E,PURCHASES!D:D,A243))</f>
        <v/>
      </c>
      <c r="D243" t="str">
        <f>IF(A243="","",SUMIFS(PRODUCTION_REPORT!E:E,PRODUCTION_REPORT!D:D,A243)+SUMIFS(PRODUCTION_REPORT!G:G,PRODUCTION_REPORT!F:F,A243)+SUMIFS(PRODUCTION_REPORT!I:I,PRODUCTION_REPORT!H:H,A243)+SUMIFS(PRODUCTION_REPORT!K:K,PRODUCTION_REPORT!J:J,A243)+SUMIFS(PRODUCTION_REPORT!M:M,PRODUCTION_REPORT!L:L,A243)+SUMIFS(PRODUCTION_REPORT!O:O,PRODUCTION_REPORT!N:N,A243))</f>
        <v/>
      </c>
      <c r="E243" t="str">
        <f t="shared" si="6"/>
        <v/>
      </c>
      <c r="F243" t="str">
        <f>IF(A243="","",_xludf.XLOOKUP(A243,MASTER_RAW_MATERIALS!B:B,MASTER_RAW_MATERIALS!E:E,0))</f>
        <v/>
      </c>
      <c r="G243" t="str">
        <f t="shared" si="7"/>
        <v/>
      </c>
    </row>
    <row r="244" spans="1:7" x14ac:dyDescent="0.2">
      <c r="A244" t="str">
        <f>IF(MASTER_RAW_MATERIALS!B244="","",MASTER_RAW_MATERIALS!B244)</f>
        <v/>
      </c>
      <c r="B244" t="str">
        <f>IF(A244="","",MASTER_RAW_MATERIALS!D244)</f>
        <v/>
      </c>
      <c r="C244" t="str">
        <f>IF(A244="","",SUMIFS(PURCHASES!E:E,PURCHASES!D:D,A244))</f>
        <v/>
      </c>
      <c r="D244" t="str">
        <f>IF(A244="","",SUMIFS(PRODUCTION_REPORT!E:E,PRODUCTION_REPORT!D:D,A244)+SUMIFS(PRODUCTION_REPORT!G:G,PRODUCTION_REPORT!F:F,A244)+SUMIFS(PRODUCTION_REPORT!I:I,PRODUCTION_REPORT!H:H,A244)+SUMIFS(PRODUCTION_REPORT!K:K,PRODUCTION_REPORT!J:J,A244)+SUMIFS(PRODUCTION_REPORT!M:M,PRODUCTION_REPORT!L:L,A244)+SUMIFS(PRODUCTION_REPORT!O:O,PRODUCTION_REPORT!N:N,A244))</f>
        <v/>
      </c>
      <c r="E244" t="str">
        <f t="shared" si="6"/>
        <v/>
      </c>
      <c r="F244" t="str">
        <f>IF(A244="","",_xludf.XLOOKUP(A244,MASTER_RAW_MATERIALS!B:B,MASTER_RAW_MATERIALS!E:E,0))</f>
        <v/>
      </c>
      <c r="G244" t="str">
        <f t="shared" si="7"/>
        <v/>
      </c>
    </row>
    <row r="245" spans="1:7" x14ac:dyDescent="0.2">
      <c r="A245" t="str">
        <f>IF(MASTER_RAW_MATERIALS!B245="","",MASTER_RAW_MATERIALS!B245)</f>
        <v/>
      </c>
      <c r="B245" t="str">
        <f>IF(A245="","",MASTER_RAW_MATERIALS!D245)</f>
        <v/>
      </c>
      <c r="C245" t="str">
        <f>IF(A245="","",SUMIFS(PURCHASES!E:E,PURCHASES!D:D,A245))</f>
        <v/>
      </c>
      <c r="D245" t="str">
        <f>IF(A245="","",SUMIFS(PRODUCTION_REPORT!E:E,PRODUCTION_REPORT!D:D,A245)+SUMIFS(PRODUCTION_REPORT!G:G,PRODUCTION_REPORT!F:F,A245)+SUMIFS(PRODUCTION_REPORT!I:I,PRODUCTION_REPORT!H:H,A245)+SUMIFS(PRODUCTION_REPORT!K:K,PRODUCTION_REPORT!J:J,A245)+SUMIFS(PRODUCTION_REPORT!M:M,PRODUCTION_REPORT!L:L,A245)+SUMIFS(PRODUCTION_REPORT!O:O,PRODUCTION_REPORT!N:N,A245))</f>
        <v/>
      </c>
      <c r="E245" t="str">
        <f t="shared" si="6"/>
        <v/>
      </c>
      <c r="F245" t="str">
        <f>IF(A245="","",_xludf.XLOOKUP(A245,MASTER_RAW_MATERIALS!B:B,MASTER_RAW_MATERIALS!E:E,0))</f>
        <v/>
      </c>
      <c r="G245" t="str">
        <f t="shared" si="7"/>
        <v/>
      </c>
    </row>
    <row r="246" spans="1:7" x14ac:dyDescent="0.2">
      <c r="A246" t="str">
        <f>IF(MASTER_RAW_MATERIALS!B246="","",MASTER_RAW_MATERIALS!B246)</f>
        <v/>
      </c>
      <c r="B246" t="str">
        <f>IF(A246="","",MASTER_RAW_MATERIALS!D246)</f>
        <v/>
      </c>
      <c r="C246" t="str">
        <f>IF(A246="","",SUMIFS(PURCHASES!E:E,PURCHASES!D:D,A246))</f>
        <v/>
      </c>
      <c r="D246" t="str">
        <f>IF(A246="","",SUMIFS(PRODUCTION_REPORT!E:E,PRODUCTION_REPORT!D:D,A246)+SUMIFS(PRODUCTION_REPORT!G:G,PRODUCTION_REPORT!F:F,A246)+SUMIFS(PRODUCTION_REPORT!I:I,PRODUCTION_REPORT!H:H,A246)+SUMIFS(PRODUCTION_REPORT!K:K,PRODUCTION_REPORT!J:J,A246)+SUMIFS(PRODUCTION_REPORT!M:M,PRODUCTION_REPORT!L:L,A246)+SUMIFS(PRODUCTION_REPORT!O:O,PRODUCTION_REPORT!N:N,A246))</f>
        <v/>
      </c>
      <c r="E246" t="str">
        <f t="shared" si="6"/>
        <v/>
      </c>
      <c r="F246" t="str">
        <f>IF(A246="","",_xludf.XLOOKUP(A246,MASTER_RAW_MATERIALS!B:B,MASTER_RAW_MATERIALS!E:E,0))</f>
        <v/>
      </c>
      <c r="G246" t="str">
        <f t="shared" si="7"/>
        <v/>
      </c>
    </row>
    <row r="247" spans="1:7" x14ac:dyDescent="0.2">
      <c r="A247" t="str">
        <f>IF(MASTER_RAW_MATERIALS!B247="","",MASTER_RAW_MATERIALS!B247)</f>
        <v/>
      </c>
      <c r="B247" t="str">
        <f>IF(A247="","",MASTER_RAW_MATERIALS!D247)</f>
        <v/>
      </c>
      <c r="C247" t="str">
        <f>IF(A247="","",SUMIFS(PURCHASES!E:E,PURCHASES!D:D,A247))</f>
        <v/>
      </c>
      <c r="D247" t="str">
        <f>IF(A247="","",SUMIFS(PRODUCTION_REPORT!E:E,PRODUCTION_REPORT!D:D,A247)+SUMIFS(PRODUCTION_REPORT!G:G,PRODUCTION_REPORT!F:F,A247)+SUMIFS(PRODUCTION_REPORT!I:I,PRODUCTION_REPORT!H:H,A247)+SUMIFS(PRODUCTION_REPORT!K:K,PRODUCTION_REPORT!J:J,A247)+SUMIFS(PRODUCTION_REPORT!M:M,PRODUCTION_REPORT!L:L,A247)+SUMIFS(PRODUCTION_REPORT!O:O,PRODUCTION_REPORT!N:N,A247))</f>
        <v/>
      </c>
      <c r="E247" t="str">
        <f t="shared" si="6"/>
        <v/>
      </c>
      <c r="F247" t="str">
        <f>IF(A247="","",_xludf.XLOOKUP(A247,MASTER_RAW_MATERIALS!B:B,MASTER_RAW_MATERIALS!E:E,0))</f>
        <v/>
      </c>
      <c r="G247" t="str">
        <f t="shared" si="7"/>
        <v/>
      </c>
    </row>
    <row r="248" spans="1:7" x14ac:dyDescent="0.2">
      <c r="A248" t="str">
        <f>IF(MASTER_RAW_MATERIALS!B248="","",MASTER_RAW_MATERIALS!B248)</f>
        <v/>
      </c>
      <c r="B248" t="str">
        <f>IF(A248="","",MASTER_RAW_MATERIALS!D248)</f>
        <v/>
      </c>
      <c r="C248" t="str">
        <f>IF(A248="","",SUMIFS(PURCHASES!E:E,PURCHASES!D:D,A248))</f>
        <v/>
      </c>
      <c r="D248" t="str">
        <f>IF(A248="","",SUMIFS(PRODUCTION_REPORT!E:E,PRODUCTION_REPORT!D:D,A248)+SUMIFS(PRODUCTION_REPORT!G:G,PRODUCTION_REPORT!F:F,A248)+SUMIFS(PRODUCTION_REPORT!I:I,PRODUCTION_REPORT!H:H,A248)+SUMIFS(PRODUCTION_REPORT!K:K,PRODUCTION_REPORT!J:J,A248)+SUMIFS(PRODUCTION_REPORT!M:M,PRODUCTION_REPORT!L:L,A248)+SUMIFS(PRODUCTION_REPORT!O:O,PRODUCTION_REPORT!N:N,A248))</f>
        <v/>
      </c>
      <c r="E248" t="str">
        <f t="shared" si="6"/>
        <v/>
      </c>
      <c r="F248" t="str">
        <f>IF(A248="","",_xludf.XLOOKUP(A248,MASTER_RAW_MATERIALS!B:B,MASTER_RAW_MATERIALS!E:E,0))</f>
        <v/>
      </c>
      <c r="G248" t="str">
        <f t="shared" si="7"/>
        <v/>
      </c>
    </row>
    <row r="249" spans="1:7" x14ac:dyDescent="0.2">
      <c r="A249" t="str">
        <f>IF(MASTER_RAW_MATERIALS!B249="","",MASTER_RAW_MATERIALS!B249)</f>
        <v/>
      </c>
      <c r="B249" t="str">
        <f>IF(A249="","",MASTER_RAW_MATERIALS!D249)</f>
        <v/>
      </c>
      <c r="C249" t="str">
        <f>IF(A249="","",SUMIFS(PURCHASES!E:E,PURCHASES!D:D,A249))</f>
        <v/>
      </c>
      <c r="D249" t="str">
        <f>IF(A249="","",SUMIFS(PRODUCTION_REPORT!E:E,PRODUCTION_REPORT!D:D,A249)+SUMIFS(PRODUCTION_REPORT!G:G,PRODUCTION_REPORT!F:F,A249)+SUMIFS(PRODUCTION_REPORT!I:I,PRODUCTION_REPORT!H:H,A249)+SUMIFS(PRODUCTION_REPORT!K:K,PRODUCTION_REPORT!J:J,A249)+SUMIFS(PRODUCTION_REPORT!M:M,PRODUCTION_REPORT!L:L,A249)+SUMIFS(PRODUCTION_REPORT!O:O,PRODUCTION_REPORT!N:N,A249))</f>
        <v/>
      </c>
      <c r="E249" t="str">
        <f t="shared" si="6"/>
        <v/>
      </c>
      <c r="F249" t="str">
        <f>IF(A249="","",_xludf.XLOOKUP(A249,MASTER_RAW_MATERIALS!B:B,MASTER_RAW_MATERIALS!E:E,0))</f>
        <v/>
      </c>
      <c r="G249" t="str">
        <f t="shared" si="7"/>
        <v/>
      </c>
    </row>
    <row r="250" spans="1:7" x14ac:dyDescent="0.2">
      <c r="A250" t="str">
        <f>IF(MASTER_RAW_MATERIALS!B250="","",MASTER_RAW_MATERIALS!B250)</f>
        <v/>
      </c>
      <c r="B250" t="str">
        <f>IF(A250="","",MASTER_RAW_MATERIALS!D250)</f>
        <v/>
      </c>
      <c r="C250" t="str">
        <f>IF(A250="","",SUMIFS(PURCHASES!E:E,PURCHASES!D:D,A250))</f>
        <v/>
      </c>
      <c r="D250" t="str">
        <f>IF(A250="","",SUMIFS(PRODUCTION_REPORT!E:E,PRODUCTION_REPORT!D:D,A250)+SUMIFS(PRODUCTION_REPORT!G:G,PRODUCTION_REPORT!F:F,A250)+SUMIFS(PRODUCTION_REPORT!I:I,PRODUCTION_REPORT!H:H,A250)+SUMIFS(PRODUCTION_REPORT!K:K,PRODUCTION_REPORT!J:J,A250)+SUMIFS(PRODUCTION_REPORT!M:M,PRODUCTION_REPORT!L:L,A250)+SUMIFS(PRODUCTION_REPORT!O:O,PRODUCTION_REPORT!N:N,A250))</f>
        <v/>
      </c>
      <c r="E250" t="str">
        <f t="shared" si="6"/>
        <v/>
      </c>
      <c r="F250" t="str">
        <f>IF(A250="","",_xludf.XLOOKUP(A250,MASTER_RAW_MATERIALS!B:B,MASTER_RAW_MATERIALS!E:E,0))</f>
        <v/>
      </c>
      <c r="G250" t="str">
        <f t="shared" si="7"/>
        <v/>
      </c>
    </row>
    <row r="251" spans="1:7" x14ac:dyDescent="0.2">
      <c r="A251" t="str">
        <f>IF(MASTER_RAW_MATERIALS!B251="","",MASTER_RAW_MATERIALS!B251)</f>
        <v/>
      </c>
      <c r="B251" t="str">
        <f>IF(A251="","",MASTER_RAW_MATERIALS!D251)</f>
        <v/>
      </c>
      <c r="C251" t="str">
        <f>IF(A251="","",SUMIFS(PURCHASES!E:E,PURCHASES!D:D,A251))</f>
        <v/>
      </c>
      <c r="D251" t="str">
        <f>IF(A251="","",SUMIFS(PRODUCTION_REPORT!E:E,PRODUCTION_REPORT!D:D,A251)+SUMIFS(PRODUCTION_REPORT!G:G,PRODUCTION_REPORT!F:F,A251)+SUMIFS(PRODUCTION_REPORT!I:I,PRODUCTION_REPORT!H:H,A251)+SUMIFS(PRODUCTION_REPORT!K:K,PRODUCTION_REPORT!J:J,A251)+SUMIFS(PRODUCTION_REPORT!M:M,PRODUCTION_REPORT!L:L,A251)+SUMIFS(PRODUCTION_REPORT!O:O,PRODUCTION_REPORT!N:N,A251))</f>
        <v/>
      </c>
      <c r="E251" t="str">
        <f t="shared" si="6"/>
        <v/>
      </c>
      <c r="F251" t="str">
        <f>IF(A251="","",_xludf.XLOOKUP(A251,MASTER_RAW_MATERIALS!B:B,MASTER_RAW_MATERIALS!E:E,0))</f>
        <v/>
      </c>
      <c r="G251" t="str">
        <f t="shared" si="7"/>
        <v/>
      </c>
    </row>
    <row r="252" spans="1:7" x14ac:dyDescent="0.2">
      <c r="A252" t="str">
        <f>IF(MASTER_RAW_MATERIALS!B252="","",MASTER_RAW_MATERIALS!B252)</f>
        <v/>
      </c>
      <c r="B252" t="str">
        <f>IF(A252="","",MASTER_RAW_MATERIALS!D252)</f>
        <v/>
      </c>
      <c r="C252" t="str">
        <f>IF(A252="","",SUMIFS(PURCHASES!E:E,PURCHASES!D:D,A252))</f>
        <v/>
      </c>
      <c r="D252" t="str">
        <f>IF(A252="","",SUMIFS(PRODUCTION_REPORT!E:E,PRODUCTION_REPORT!D:D,A252)+SUMIFS(PRODUCTION_REPORT!G:G,PRODUCTION_REPORT!F:F,A252)+SUMIFS(PRODUCTION_REPORT!I:I,PRODUCTION_REPORT!H:H,A252)+SUMIFS(PRODUCTION_REPORT!K:K,PRODUCTION_REPORT!J:J,A252)+SUMIFS(PRODUCTION_REPORT!M:M,PRODUCTION_REPORT!L:L,A252)+SUMIFS(PRODUCTION_REPORT!O:O,PRODUCTION_REPORT!N:N,A252))</f>
        <v/>
      </c>
      <c r="E252" t="str">
        <f t="shared" si="6"/>
        <v/>
      </c>
      <c r="F252" t="str">
        <f>IF(A252="","",_xludf.XLOOKUP(A252,MASTER_RAW_MATERIALS!B:B,MASTER_RAW_MATERIALS!E:E,0))</f>
        <v/>
      </c>
      <c r="G252" t="str">
        <f t="shared" si="7"/>
        <v/>
      </c>
    </row>
    <row r="253" spans="1:7" x14ac:dyDescent="0.2">
      <c r="A253" t="str">
        <f>IF(MASTER_RAW_MATERIALS!B253="","",MASTER_RAW_MATERIALS!B253)</f>
        <v/>
      </c>
      <c r="B253" t="str">
        <f>IF(A253="","",MASTER_RAW_MATERIALS!D253)</f>
        <v/>
      </c>
      <c r="C253" t="str">
        <f>IF(A253="","",SUMIFS(PURCHASES!E:E,PURCHASES!D:D,A253))</f>
        <v/>
      </c>
      <c r="D253" t="str">
        <f>IF(A253="","",SUMIFS(PRODUCTION_REPORT!E:E,PRODUCTION_REPORT!D:D,A253)+SUMIFS(PRODUCTION_REPORT!G:G,PRODUCTION_REPORT!F:F,A253)+SUMIFS(PRODUCTION_REPORT!I:I,PRODUCTION_REPORT!H:H,A253)+SUMIFS(PRODUCTION_REPORT!K:K,PRODUCTION_REPORT!J:J,A253)+SUMIFS(PRODUCTION_REPORT!M:M,PRODUCTION_REPORT!L:L,A253)+SUMIFS(PRODUCTION_REPORT!O:O,PRODUCTION_REPORT!N:N,A253))</f>
        <v/>
      </c>
      <c r="E253" t="str">
        <f t="shared" si="6"/>
        <v/>
      </c>
      <c r="F253" t="str">
        <f>IF(A253="","",_xludf.XLOOKUP(A253,MASTER_RAW_MATERIALS!B:B,MASTER_RAW_MATERIALS!E:E,0))</f>
        <v/>
      </c>
      <c r="G253" t="str">
        <f t="shared" si="7"/>
        <v/>
      </c>
    </row>
    <row r="254" spans="1:7" x14ac:dyDescent="0.2">
      <c r="A254" t="str">
        <f>IF(MASTER_RAW_MATERIALS!B254="","",MASTER_RAW_MATERIALS!B254)</f>
        <v/>
      </c>
      <c r="B254" t="str">
        <f>IF(A254="","",MASTER_RAW_MATERIALS!D254)</f>
        <v/>
      </c>
      <c r="C254" t="str">
        <f>IF(A254="","",SUMIFS(PURCHASES!E:E,PURCHASES!D:D,A254))</f>
        <v/>
      </c>
      <c r="D254" t="str">
        <f>IF(A254="","",SUMIFS(PRODUCTION_REPORT!E:E,PRODUCTION_REPORT!D:D,A254)+SUMIFS(PRODUCTION_REPORT!G:G,PRODUCTION_REPORT!F:F,A254)+SUMIFS(PRODUCTION_REPORT!I:I,PRODUCTION_REPORT!H:H,A254)+SUMIFS(PRODUCTION_REPORT!K:K,PRODUCTION_REPORT!J:J,A254)+SUMIFS(PRODUCTION_REPORT!M:M,PRODUCTION_REPORT!L:L,A254)+SUMIFS(PRODUCTION_REPORT!O:O,PRODUCTION_REPORT!N:N,A254))</f>
        <v/>
      </c>
      <c r="E254" t="str">
        <f t="shared" si="6"/>
        <v/>
      </c>
      <c r="F254" t="str">
        <f>IF(A254="","",_xludf.XLOOKUP(A254,MASTER_RAW_MATERIALS!B:B,MASTER_RAW_MATERIALS!E:E,0))</f>
        <v/>
      </c>
      <c r="G254" t="str">
        <f t="shared" si="7"/>
        <v/>
      </c>
    </row>
    <row r="255" spans="1:7" x14ac:dyDescent="0.2">
      <c r="A255" t="str">
        <f>IF(MASTER_RAW_MATERIALS!B255="","",MASTER_RAW_MATERIALS!B255)</f>
        <v/>
      </c>
      <c r="B255" t="str">
        <f>IF(A255="","",MASTER_RAW_MATERIALS!D255)</f>
        <v/>
      </c>
      <c r="C255" t="str">
        <f>IF(A255="","",SUMIFS(PURCHASES!E:E,PURCHASES!D:D,A255))</f>
        <v/>
      </c>
      <c r="D255" t="str">
        <f>IF(A255="","",SUMIFS(PRODUCTION_REPORT!E:E,PRODUCTION_REPORT!D:D,A255)+SUMIFS(PRODUCTION_REPORT!G:G,PRODUCTION_REPORT!F:F,A255)+SUMIFS(PRODUCTION_REPORT!I:I,PRODUCTION_REPORT!H:H,A255)+SUMIFS(PRODUCTION_REPORT!K:K,PRODUCTION_REPORT!J:J,A255)+SUMIFS(PRODUCTION_REPORT!M:M,PRODUCTION_REPORT!L:L,A255)+SUMIFS(PRODUCTION_REPORT!O:O,PRODUCTION_REPORT!N:N,A255))</f>
        <v/>
      </c>
      <c r="E255" t="str">
        <f t="shared" si="6"/>
        <v/>
      </c>
      <c r="F255" t="str">
        <f>IF(A255="","",_xludf.XLOOKUP(A255,MASTER_RAW_MATERIALS!B:B,MASTER_RAW_MATERIALS!E:E,0))</f>
        <v/>
      </c>
      <c r="G255" t="str">
        <f t="shared" si="7"/>
        <v/>
      </c>
    </row>
    <row r="256" spans="1:7" x14ac:dyDescent="0.2">
      <c r="A256" t="str">
        <f>IF(MASTER_RAW_MATERIALS!B256="","",MASTER_RAW_MATERIALS!B256)</f>
        <v/>
      </c>
      <c r="B256" t="str">
        <f>IF(A256="","",MASTER_RAW_MATERIALS!D256)</f>
        <v/>
      </c>
      <c r="C256" t="str">
        <f>IF(A256="","",SUMIFS(PURCHASES!E:E,PURCHASES!D:D,A256))</f>
        <v/>
      </c>
      <c r="D256" t="str">
        <f>IF(A256="","",SUMIFS(PRODUCTION_REPORT!E:E,PRODUCTION_REPORT!D:D,A256)+SUMIFS(PRODUCTION_REPORT!G:G,PRODUCTION_REPORT!F:F,A256)+SUMIFS(PRODUCTION_REPORT!I:I,PRODUCTION_REPORT!H:H,A256)+SUMIFS(PRODUCTION_REPORT!K:K,PRODUCTION_REPORT!J:J,A256)+SUMIFS(PRODUCTION_REPORT!M:M,PRODUCTION_REPORT!L:L,A256)+SUMIFS(PRODUCTION_REPORT!O:O,PRODUCTION_REPORT!N:N,A256))</f>
        <v/>
      </c>
      <c r="E256" t="str">
        <f t="shared" si="6"/>
        <v/>
      </c>
      <c r="F256" t="str">
        <f>IF(A256="","",_xludf.XLOOKUP(A256,MASTER_RAW_MATERIALS!B:B,MASTER_RAW_MATERIALS!E:E,0))</f>
        <v/>
      </c>
      <c r="G256" t="str">
        <f t="shared" si="7"/>
        <v/>
      </c>
    </row>
    <row r="257" spans="1:7" x14ac:dyDescent="0.2">
      <c r="A257" t="str">
        <f>IF(MASTER_RAW_MATERIALS!B257="","",MASTER_RAW_MATERIALS!B257)</f>
        <v/>
      </c>
      <c r="B257" t="str">
        <f>IF(A257="","",MASTER_RAW_MATERIALS!D257)</f>
        <v/>
      </c>
      <c r="C257" t="str">
        <f>IF(A257="","",SUMIFS(PURCHASES!E:E,PURCHASES!D:D,A257))</f>
        <v/>
      </c>
      <c r="D257" t="str">
        <f>IF(A257="","",SUMIFS(PRODUCTION_REPORT!E:E,PRODUCTION_REPORT!D:D,A257)+SUMIFS(PRODUCTION_REPORT!G:G,PRODUCTION_REPORT!F:F,A257)+SUMIFS(PRODUCTION_REPORT!I:I,PRODUCTION_REPORT!H:H,A257)+SUMIFS(PRODUCTION_REPORT!K:K,PRODUCTION_REPORT!J:J,A257)+SUMIFS(PRODUCTION_REPORT!M:M,PRODUCTION_REPORT!L:L,A257)+SUMIFS(PRODUCTION_REPORT!O:O,PRODUCTION_REPORT!N:N,A257))</f>
        <v/>
      </c>
      <c r="E257" t="str">
        <f t="shared" si="6"/>
        <v/>
      </c>
      <c r="F257" t="str">
        <f>IF(A257="","",_xludf.XLOOKUP(A257,MASTER_RAW_MATERIALS!B:B,MASTER_RAW_MATERIALS!E:E,0))</f>
        <v/>
      </c>
      <c r="G257" t="str">
        <f t="shared" si="7"/>
        <v/>
      </c>
    </row>
    <row r="258" spans="1:7" x14ac:dyDescent="0.2">
      <c r="A258" t="str">
        <f>IF(MASTER_RAW_MATERIALS!B258="","",MASTER_RAW_MATERIALS!B258)</f>
        <v/>
      </c>
      <c r="B258" t="str">
        <f>IF(A258="","",MASTER_RAW_MATERIALS!D258)</f>
        <v/>
      </c>
      <c r="C258" t="str">
        <f>IF(A258="","",SUMIFS(PURCHASES!E:E,PURCHASES!D:D,A258))</f>
        <v/>
      </c>
      <c r="D258" t="str">
        <f>IF(A258="","",SUMIFS(PRODUCTION_REPORT!E:E,PRODUCTION_REPORT!D:D,A258)+SUMIFS(PRODUCTION_REPORT!G:G,PRODUCTION_REPORT!F:F,A258)+SUMIFS(PRODUCTION_REPORT!I:I,PRODUCTION_REPORT!H:H,A258)+SUMIFS(PRODUCTION_REPORT!K:K,PRODUCTION_REPORT!J:J,A258)+SUMIFS(PRODUCTION_REPORT!M:M,PRODUCTION_REPORT!L:L,A258)+SUMIFS(PRODUCTION_REPORT!O:O,PRODUCTION_REPORT!N:N,A258))</f>
        <v/>
      </c>
      <c r="E258" t="str">
        <f t="shared" ref="E258:E321" si="8">IF(A258="","",B258+C258-D258)</f>
        <v/>
      </c>
      <c r="F258" t="str">
        <f>IF(A258="","",_xludf.XLOOKUP(A258,MASTER_RAW_MATERIALS!B:B,MASTER_RAW_MATERIALS!E:E,0))</f>
        <v/>
      </c>
      <c r="G258" t="str">
        <f t="shared" ref="G258:G321" si="9">IF(A258="","",E258*F258)</f>
        <v/>
      </c>
    </row>
    <row r="259" spans="1:7" x14ac:dyDescent="0.2">
      <c r="A259" t="str">
        <f>IF(MASTER_RAW_MATERIALS!B259="","",MASTER_RAW_MATERIALS!B259)</f>
        <v/>
      </c>
      <c r="B259" t="str">
        <f>IF(A259="","",MASTER_RAW_MATERIALS!D259)</f>
        <v/>
      </c>
      <c r="C259" t="str">
        <f>IF(A259="","",SUMIFS(PURCHASES!E:E,PURCHASES!D:D,A259))</f>
        <v/>
      </c>
      <c r="D259" t="str">
        <f>IF(A259="","",SUMIFS(PRODUCTION_REPORT!E:E,PRODUCTION_REPORT!D:D,A259)+SUMIFS(PRODUCTION_REPORT!G:G,PRODUCTION_REPORT!F:F,A259)+SUMIFS(PRODUCTION_REPORT!I:I,PRODUCTION_REPORT!H:H,A259)+SUMIFS(PRODUCTION_REPORT!K:K,PRODUCTION_REPORT!J:J,A259)+SUMIFS(PRODUCTION_REPORT!M:M,PRODUCTION_REPORT!L:L,A259)+SUMIFS(PRODUCTION_REPORT!O:O,PRODUCTION_REPORT!N:N,A259))</f>
        <v/>
      </c>
      <c r="E259" t="str">
        <f t="shared" si="8"/>
        <v/>
      </c>
      <c r="F259" t="str">
        <f>IF(A259="","",_xludf.XLOOKUP(A259,MASTER_RAW_MATERIALS!B:B,MASTER_RAW_MATERIALS!E:E,0))</f>
        <v/>
      </c>
      <c r="G259" t="str">
        <f t="shared" si="9"/>
        <v/>
      </c>
    </row>
    <row r="260" spans="1:7" x14ac:dyDescent="0.2">
      <c r="A260" t="str">
        <f>IF(MASTER_RAW_MATERIALS!B260="","",MASTER_RAW_MATERIALS!B260)</f>
        <v/>
      </c>
      <c r="B260" t="str">
        <f>IF(A260="","",MASTER_RAW_MATERIALS!D260)</f>
        <v/>
      </c>
      <c r="C260" t="str">
        <f>IF(A260="","",SUMIFS(PURCHASES!E:E,PURCHASES!D:D,A260))</f>
        <v/>
      </c>
      <c r="D260" t="str">
        <f>IF(A260="","",SUMIFS(PRODUCTION_REPORT!E:E,PRODUCTION_REPORT!D:D,A260)+SUMIFS(PRODUCTION_REPORT!G:G,PRODUCTION_REPORT!F:F,A260)+SUMIFS(PRODUCTION_REPORT!I:I,PRODUCTION_REPORT!H:H,A260)+SUMIFS(PRODUCTION_REPORT!K:K,PRODUCTION_REPORT!J:J,A260)+SUMIFS(PRODUCTION_REPORT!M:M,PRODUCTION_REPORT!L:L,A260)+SUMIFS(PRODUCTION_REPORT!O:O,PRODUCTION_REPORT!N:N,A260))</f>
        <v/>
      </c>
      <c r="E260" t="str">
        <f t="shared" si="8"/>
        <v/>
      </c>
      <c r="F260" t="str">
        <f>IF(A260="","",_xludf.XLOOKUP(A260,MASTER_RAW_MATERIALS!B:B,MASTER_RAW_MATERIALS!E:E,0))</f>
        <v/>
      </c>
      <c r="G260" t="str">
        <f t="shared" si="9"/>
        <v/>
      </c>
    </row>
    <row r="261" spans="1:7" x14ac:dyDescent="0.2">
      <c r="A261" t="str">
        <f>IF(MASTER_RAW_MATERIALS!B261="","",MASTER_RAW_MATERIALS!B261)</f>
        <v/>
      </c>
      <c r="B261" t="str">
        <f>IF(A261="","",MASTER_RAW_MATERIALS!D261)</f>
        <v/>
      </c>
      <c r="C261" t="str">
        <f>IF(A261="","",SUMIFS(PURCHASES!E:E,PURCHASES!D:D,A261))</f>
        <v/>
      </c>
      <c r="D261" t="str">
        <f>IF(A261="","",SUMIFS(PRODUCTION_REPORT!E:E,PRODUCTION_REPORT!D:D,A261)+SUMIFS(PRODUCTION_REPORT!G:G,PRODUCTION_REPORT!F:F,A261)+SUMIFS(PRODUCTION_REPORT!I:I,PRODUCTION_REPORT!H:H,A261)+SUMIFS(PRODUCTION_REPORT!K:K,PRODUCTION_REPORT!J:J,A261)+SUMIFS(PRODUCTION_REPORT!M:M,PRODUCTION_REPORT!L:L,A261)+SUMIFS(PRODUCTION_REPORT!O:O,PRODUCTION_REPORT!N:N,A261))</f>
        <v/>
      </c>
      <c r="E261" t="str">
        <f t="shared" si="8"/>
        <v/>
      </c>
      <c r="F261" t="str">
        <f>IF(A261="","",_xludf.XLOOKUP(A261,MASTER_RAW_MATERIALS!B:B,MASTER_RAW_MATERIALS!E:E,0))</f>
        <v/>
      </c>
      <c r="G261" t="str">
        <f t="shared" si="9"/>
        <v/>
      </c>
    </row>
    <row r="262" spans="1:7" x14ac:dyDescent="0.2">
      <c r="A262" t="str">
        <f>IF(MASTER_RAW_MATERIALS!B262="","",MASTER_RAW_MATERIALS!B262)</f>
        <v/>
      </c>
      <c r="B262" t="str">
        <f>IF(A262="","",MASTER_RAW_MATERIALS!D262)</f>
        <v/>
      </c>
      <c r="C262" t="str">
        <f>IF(A262="","",SUMIFS(PURCHASES!E:E,PURCHASES!D:D,A262))</f>
        <v/>
      </c>
      <c r="D262" t="str">
        <f>IF(A262="","",SUMIFS(PRODUCTION_REPORT!E:E,PRODUCTION_REPORT!D:D,A262)+SUMIFS(PRODUCTION_REPORT!G:G,PRODUCTION_REPORT!F:F,A262)+SUMIFS(PRODUCTION_REPORT!I:I,PRODUCTION_REPORT!H:H,A262)+SUMIFS(PRODUCTION_REPORT!K:K,PRODUCTION_REPORT!J:J,A262)+SUMIFS(PRODUCTION_REPORT!M:M,PRODUCTION_REPORT!L:L,A262)+SUMIFS(PRODUCTION_REPORT!O:O,PRODUCTION_REPORT!N:N,A262))</f>
        <v/>
      </c>
      <c r="E262" t="str">
        <f t="shared" si="8"/>
        <v/>
      </c>
      <c r="F262" t="str">
        <f>IF(A262="","",_xludf.XLOOKUP(A262,MASTER_RAW_MATERIALS!B:B,MASTER_RAW_MATERIALS!E:E,0))</f>
        <v/>
      </c>
      <c r="G262" t="str">
        <f t="shared" si="9"/>
        <v/>
      </c>
    </row>
    <row r="263" spans="1:7" x14ac:dyDescent="0.2">
      <c r="A263" t="str">
        <f>IF(MASTER_RAW_MATERIALS!B263="","",MASTER_RAW_MATERIALS!B263)</f>
        <v/>
      </c>
      <c r="B263" t="str">
        <f>IF(A263="","",MASTER_RAW_MATERIALS!D263)</f>
        <v/>
      </c>
      <c r="C263" t="str">
        <f>IF(A263="","",SUMIFS(PURCHASES!E:E,PURCHASES!D:D,A263))</f>
        <v/>
      </c>
      <c r="D263" t="str">
        <f>IF(A263="","",SUMIFS(PRODUCTION_REPORT!E:E,PRODUCTION_REPORT!D:D,A263)+SUMIFS(PRODUCTION_REPORT!G:G,PRODUCTION_REPORT!F:F,A263)+SUMIFS(PRODUCTION_REPORT!I:I,PRODUCTION_REPORT!H:H,A263)+SUMIFS(PRODUCTION_REPORT!K:K,PRODUCTION_REPORT!J:J,A263)+SUMIFS(PRODUCTION_REPORT!M:M,PRODUCTION_REPORT!L:L,A263)+SUMIFS(PRODUCTION_REPORT!O:O,PRODUCTION_REPORT!N:N,A263))</f>
        <v/>
      </c>
      <c r="E263" t="str">
        <f t="shared" si="8"/>
        <v/>
      </c>
      <c r="F263" t="str">
        <f>IF(A263="","",_xludf.XLOOKUP(A263,MASTER_RAW_MATERIALS!B:B,MASTER_RAW_MATERIALS!E:E,0))</f>
        <v/>
      </c>
      <c r="G263" t="str">
        <f t="shared" si="9"/>
        <v/>
      </c>
    </row>
    <row r="264" spans="1:7" x14ac:dyDescent="0.2">
      <c r="A264" t="str">
        <f>IF(MASTER_RAW_MATERIALS!B264="","",MASTER_RAW_MATERIALS!B264)</f>
        <v/>
      </c>
      <c r="B264" t="str">
        <f>IF(A264="","",MASTER_RAW_MATERIALS!D264)</f>
        <v/>
      </c>
      <c r="C264" t="str">
        <f>IF(A264="","",SUMIFS(PURCHASES!E:E,PURCHASES!D:D,A264))</f>
        <v/>
      </c>
      <c r="D264" t="str">
        <f>IF(A264="","",SUMIFS(PRODUCTION_REPORT!E:E,PRODUCTION_REPORT!D:D,A264)+SUMIFS(PRODUCTION_REPORT!G:G,PRODUCTION_REPORT!F:F,A264)+SUMIFS(PRODUCTION_REPORT!I:I,PRODUCTION_REPORT!H:H,A264)+SUMIFS(PRODUCTION_REPORT!K:K,PRODUCTION_REPORT!J:J,A264)+SUMIFS(PRODUCTION_REPORT!M:M,PRODUCTION_REPORT!L:L,A264)+SUMIFS(PRODUCTION_REPORT!O:O,PRODUCTION_REPORT!N:N,A264))</f>
        <v/>
      </c>
      <c r="E264" t="str">
        <f t="shared" si="8"/>
        <v/>
      </c>
      <c r="F264" t="str">
        <f>IF(A264="","",_xludf.XLOOKUP(A264,MASTER_RAW_MATERIALS!B:B,MASTER_RAW_MATERIALS!E:E,0))</f>
        <v/>
      </c>
      <c r="G264" t="str">
        <f t="shared" si="9"/>
        <v/>
      </c>
    </row>
    <row r="265" spans="1:7" x14ac:dyDescent="0.2">
      <c r="A265" t="str">
        <f>IF(MASTER_RAW_MATERIALS!B265="","",MASTER_RAW_MATERIALS!B265)</f>
        <v/>
      </c>
      <c r="B265" t="str">
        <f>IF(A265="","",MASTER_RAW_MATERIALS!D265)</f>
        <v/>
      </c>
      <c r="C265" t="str">
        <f>IF(A265="","",SUMIFS(PURCHASES!E:E,PURCHASES!D:D,A265))</f>
        <v/>
      </c>
      <c r="D265" t="str">
        <f>IF(A265="","",SUMIFS(PRODUCTION_REPORT!E:E,PRODUCTION_REPORT!D:D,A265)+SUMIFS(PRODUCTION_REPORT!G:G,PRODUCTION_REPORT!F:F,A265)+SUMIFS(PRODUCTION_REPORT!I:I,PRODUCTION_REPORT!H:H,A265)+SUMIFS(PRODUCTION_REPORT!K:K,PRODUCTION_REPORT!J:J,A265)+SUMIFS(PRODUCTION_REPORT!M:M,PRODUCTION_REPORT!L:L,A265)+SUMIFS(PRODUCTION_REPORT!O:O,PRODUCTION_REPORT!N:N,A265))</f>
        <v/>
      </c>
      <c r="E265" t="str">
        <f t="shared" si="8"/>
        <v/>
      </c>
      <c r="F265" t="str">
        <f>IF(A265="","",_xludf.XLOOKUP(A265,MASTER_RAW_MATERIALS!B:B,MASTER_RAW_MATERIALS!E:E,0))</f>
        <v/>
      </c>
      <c r="G265" t="str">
        <f t="shared" si="9"/>
        <v/>
      </c>
    </row>
    <row r="266" spans="1:7" x14ac:dyDescent="0.2">
      <c r="A266" t="str">
        <f>IF(MASTER_RAW_MATERIALS!B266="","",MASTER_RAW_MATERIALS!B266)</f>
        <v/>
      </c>
      <c r="B266" t="str">
        <f>IF(A266="","",MASTER_RAW_MATERIALS!D266)</f>
        <v/>
      </c>
      <c r="C266" t="str">
        <f>IF(A266="","",SUMIFS(PURCHASES!E:E,PURCHASES!D:D,A266))</f>
        <v/>
      </c>
      <c r="D266" t="str">
        <f>IF(A266="","",SUMIFS(PRODUCTION_REPORT!E:E,PRODUCTION_REPORT!D:D,A266)+SUMIFS(PRODUCTION_REPORT!G:G,PRODUCTION_REPORT!F:F,A266)+SUMIFS(PRODUCTION_REPORT!I:I,PRODUCTION_REPORT!H:H,A266)+SUMIFS(PRODUCTION_REPORT!K:K,PRODUCTION_REPORT!J:J,A266)+SUMIFS(PRODUCTION_REPORT!M:M,PRODUCTION_REPORT!L:L,A266)+SUMIFS(PRODUCTION_REPORT!O:O,PRODUCTION_REPORT!N:N,A266))</f>
        <v/>
      </c>
      <c r="E266" t="str">
        <f t="shared" si="8"/>
        <v/>
      </c>
      <c r="F266" t="str">
        <f>IF(A266="","",_xludf.XLOOKUP(A266,MASTER_RAW_MATERIALS!B:B,MASTER_RAW_MATERIALS!E:E,0))</f>
        <v/>
      </c>
      <c r="G266" t="str">
        <f t="shared" si="9"/>
        <v/>
      </c>
    </row>
    <row r="267" spans="1:7" x14ac:dyDescent="0.2">
      <c r="A267" t="str">
        <f>IF(MASTER_RAW_MATERIALS!B267="","",MASTER_RAW_MATERIALS!B267)</f>
        <v/>
      </c>
      <c r="B267" t="str">
        <f>IF(A267="","",MASTER_RAW_MATERIALS!D267)</f>
        <v/>
      </c>
      <c r="C267" t="str">
        <f>IF(A267="","",SUMIFS(PURCHASES!E:E,PURCHASES!D:D,A267))</f>
        <v/>
      </c>
      <c r="D267" t="str">
        <f>IF(A267="","",SUMIFS(PRODUCTION_REPORT!E:E,PRODUCTION_REPORT!D:D,A267)+SUMIFS(PRODUCTION_REPORT!G:G,PRODUCTION_REPORT!F:F,A267)+SUMIFS(PRODUCTION_REPORT!I:I,PRODUCTION_REPORT!H:H,A267)+SUMIFS(PRODUCTION_REPORT!K:K,PRODUCTION_REPORT!J:J,A267)+SUMIFS(PRODUCTION_REPORT!M:M,PRODUCTION_REPORT!L:L,A267)+SUMIFS(PRODUCTION_REPORT!O:O,PRODUCTION_REPORT!N:N,A267))</f>
        <v/>
      </c>
      <c r="E267" t="str">
        <f t="shared" si="8"/>
        <v/>
      </c>
      <c r="F267" t="str">
        <f>IF(A267="","",_xludf.XLOOKUP(A267,MASTER_RAW_MATERIALS!B:B,MASTER_RAW_MATERIALS!E:E,0))</f>
        <v/>
      </c>
      <c r="G267" t="str">
        <f t="shared" si="9"/>
        <v/>
      </c>
    </row>
    <row r="268" spans="1:7" x14ac:dyDescent="0.2">
      <c r="A268" t="str">
        <f>IF(MASTER_RAW_MATERIALS!B268="","",MASTER_RAW_MATERIALS!B268)</f>
        <v/>
      </c>
      <c r="B268" t="str">
        <f>IF(A268="","",MASTER_RAW_MATERIALS!D268)</f>
        <v/>
      </c>
      <c r="C268" t="str">
        <f>IF(A268="","",SUMIFS(PURCHASES!E:E,PURCHASES!D:D,A268))</f>
        <v/>
      </c>
      <c r="D268" t="str">
        <f>IF(A268="","",SUMIFS(PRODUCTION_REPORT!E:E,PRODUCTION_REPORT!D:D,A268)+SUMIFS(PRODUCTION_REPORT!G:G,PRODUCTION_REPORT!F:F,A268)+SUMIFS(PRODUCTION_REPORT!I:I,PRODUCTION_REPORT!H:H,A268)+SUMIFS(PRODUCTION_REPORT!K:K,PRODUCTION_REPORT!J:J,A268)+SUMIFS(PRODUCTION_REPORT!M:M,PRODUCTION_REPORT!L:L,A268)+SUMIFS(PRODUCTION_REPORT!O:O,PRODUCTION_REPORT!N:N,A268))</f>
        <v/>
      </c>
      <c r="E268" t="str">
        <f t="shared" si="8"/>
        <v/>
      </c>
      <c r="F268" t="str">
        <f>IF(A268="","",_xludf.XLOOKUP(A268,MASTER_RAW_MATERIALS!B:B,MASTER_RAW_MATERIALS!E:E,0))</f>
        <v/>
      </c>
      <c r="G268" t="str">
        <f t="shared" si="9"/>
        <v/>
      </c>
    </row>
    <row r="269" spans="1:7" x14ac:dyDescent="0.2">
      <c r="A269" t="str">
        <f>IF(MASTER_RAW_MATERIALS!B269="","",MASTER_RAW_MATERIALS!B269)</f>
        <v/>
      </c>
      <c r="B269" t="str">
        <f>IF(A269="","",MASTER_RAW_MATERIALS!D269)</f>
        <v/>
      </c>
      <c r="C269" t="str">
        <f>IF(A269="","",SUMIFS(PURCHASES!E:E,PURCHASES!D:D,A269))</f>
        <v/>
      </c>
      <c r="D269" t="str">
        <f>IF(A269="","",SUMIFS(PRODUCTION_REPORT!E:E,PRODUCTION_REPORT!D:D,A269)+SUMIFS(PRODUCTION_REPORT!G:G,PRODUCTION_REPORT!F:F,A269)+SUMIFS(PRODUCTION_REPORT!I:I,PRODUCTION_REPORT!H:H,A269)+SUMIFS(PRODUCTION_REPORT!K:K,PRODUCTION_REPORT!J:J,A269)+SUMIFS(PRODUCTION_REPORT!M:M,PRODUCTION_REPORT!L:L,A269)+SUMIFS(PRODUCTION_REPORT!O:O,PRODUCTION_REPORT!N:N,A269))</f>
        <v/>
      </c>
      <c r="E269" t="str">
        <f t="shared" si="8"/>
        <v/>
      </c>
      <c r="F269" t="str">
        <f>IF(A269="","",_xludf.XLOOKUP(A269,MASTER_RAW_MATERIALS!B:B,MASTER_RAW_MATERIALS!E:E,0))</f>
        <v/>
      </c>
      <c r="G269" t="str">
        <f t="shared" si="9"/>
        <v/>
      </c>
    </row>
    <row r="270" spans="1:7" x14ac:dyDescent="0.2">
      <c r="A270" t="str">
        <f>IF(MASTER_RAW_MATERIALS!B270="","",MASTER_RAW_MATERIALS!B270)</f>
        <v/>
      </c>
      <c r="B270" t="str">
        <f>IF(A270="","",MASTER_RAW_MATERIALS!D270)</f>
        <v/>
      </c>
      <c r="C270" t="str">
        <f>IF(A270="","",SUMIFS(PURCHASES!E:E,PURCHASES!D:D,A270))</f>
        <v/>
      </c>
      <c r="D270" t="str">
        <f>IF(A270="","",SUMIFS(PRODUCTION_REPORT!E:E,PRODUCTION_REPORT!D:D,A270)+SUMIFS(PRODUCTION_REPORT!G:G,PRODUCTION_REPORT!F:F,A270)+SUMIFS(PRODUCTION_REPORT!I:I,PRODUCTION_REPORT!H:H,A270)+SUMIFS(PRODUCTION_REPORT!K:K,PRODUCTION_REPORT!J:J,A270)+SUMIFS(PRODUCTION_REPORT!M:M,PRODUCTION_REPORT!L:L,A270)+SUMIFS(PRODUCTION_REPORT!O:O,PRODUCTION_REPORT!N:N,A270))</f>
        <v/>
      </c>
      <c r="E270" t="str">
        <f t="shared" si="8"/>
        <v/>
      </c>
      <c r="F270" t="str">
        <f>IF(A270="","",_xludf.XLOOKUP(A270,MASTER_RAW_MATERIALS!B:B,MASTER_RAW_MATERIALS!E:E,0))</f>
        <v/>
      </c>
      <c r="G270" t="str">
        <f t="shared" si="9"/>
        <v/>
      </c>
    </row>
    <row r="271" spans="1:7" x14ac:dyDescent="0.2">
      <c r="A271" t="str">
        <f>IF(MASTER_RAW_MATERIALS!B271="","",MASTER_RAW_MATERIALS!B271)</f>
        <v/>
      </c>
      <c r="B271" t="str">
        <f>IF(A271="","",MASTER_RAW_MATERIALS!D271)</f>
        <v/>
      </c>
      <c r="C271" t="str">
        <f>IF(A271="","",SUMIFS(PURCHASES!E:E,PURCHASES!D:D,A271))</f>
        <v/>
      </c>
      <c r="D271" t="str">
        <f>IF(A271="","",SUMIFS(PRODUCTION_REPORT!E:E,PRODUCTION_REPORT!D:D,A271)+SUMIFS(PRODUCTION_REPORT!G:G,PRODUCTION_REPORT!F:F,A271)+SUMIFS(PRODUCTION_REPORT!I:I,PRODUCTION_REPORT!H:H,A271)+SUMIFS(PRODUCTION_REPORT!K:K,PRODUCTION_REPORT!J:J,A271)+SUMIFS(PRODUCTION_REPORT!M:M,PRODUCTION_REPORT!L:L,A271)+SUMIFS(PRODUCTION_REPORT!O:O,PRODUCTION_REPORT!N:N,A271))</f>
        <v/>
      </c>
      <c r="E271" t="str">
        <f t="shared" si="8"/>
        <v/>
      </c>
      <c r="F271" t="str">
        <f>IF(A271="","",_xludf.XLOOKUP(A271,MASTER_RAW_MATERIALS!B:B,MASTER_RAW_MATERIALS!E:E,0))</f>
        <v/>
      </c>
      <c r="G271" t="str">
        <f t="shared" si="9"/>
        <v/>
      </c>
    </row>
    <row r="272" spans="1:7" x14ac:dyDescent="0.2">
      <c r="A272" t="str">
        <f>IF(MASTER_RAW_MATERIALS!B272="","",MASTER_RAW_MATERIALS!B272)</f>
        <v/>
      </c>
      <c r="B272" t="str">
        <f>IF(A272="","",MASTER_RAW_MATERIALS!D272)</f>
        <v/>
      </c>
      <c r="C272" t="str">
        <f>IF(A272="","",SUMIFS(PURCHASES!E:E,PURCHASES!D:D,A272))</f>
        <v/>
      </c>
      <c r="D272" t="str">
        <f>IF(A272="","",SUMIFS(PRODUCTION_REPORT!E:E,PRODUCTION_REPORT!D:D,A272)+SUMIFS(PRODUCTION_REPORT!G:G,PRODUCTION_REPORT!F:F,A272)+SUMIFS(PRODUCTION_REPORT!I:I,PRODUCTION_REPORT!H:H,A272)+SUMIFS(PRODUCTION_REPORT!K:K,PRODUCTION_REPORT!J:J,A272)+SUMIFS(PRODUCTION_REPORT!M:M,PRODUCTION_REPORT!L:L,A272)+SUMIFS(PRODUCTION_REPORT!O:O,PRODUCTION_REPORT!N:N,A272))</f>
        <v/>
      </c>
      <c r="E272" t="str">
        <f t="shared" si="8"/>
        <v/>
      </c>
      <c r="F272" t="str">
        <f>IF(A272="","",_xludf.XLOOKUP(A272,MASTER_RAW_MATERIALS!B:B,MASTER_RAW_MATERIALS!E:E,0))</f>
        <v/>
      </c>
      <c r="G272" t="str">
        <f t="shared" si="9"/>
        <v/>
      </c>
    </row>
    <row r="273" spans="1:7" x14ac:dyDescent="0.2">
      <c r="A273" t="str">
        <f>IF(MASTER_RAW_MATERIALS!B273="","",MASTER_RAW_MATERIALS!B273)</f>
        <v/>
      </c>
      <c r="B273" t="str">
        <f>IF(A273="","",MASTER_RAW_MATERIALS!D273)</f>
        <v/>
      </c>
      <c r="C273" t="str">
        <f>IF(A273="","",SUMIFS(PURCHASES!E:E,PURCHASES!D:D,A273))</f>
        <v/>
      </c>
      <c r="D273" t="str">
        <f>IF(A273="","",SUMIFS(PRODUCTION_REPORT!E:E,PRODUCTION_REPORT!D:D,A273)+SUMIFS(PRODUCTION_REPORT!G:G,PRODUCTION_REPORT!F:F,A273)+SUMIFS(PRODUCTION_REPORT!I:I,PRODUCTION_REPORT!H:H,A273)+SUMIFS(PRODUCTION_REPORT!K:K,PRODUCTION_REPORT!J:J,A273)+SUMIFS(PRODUCTION_REPORT!M:M,PRODUCTION_REPORT!L:L,A273)+SUMIFS(PRODUCTION_REPORT!O:O,PRODUCTION_REPORT!N:N,A273))</f>
        <v/>
      </c>
      <c r="E273" t="str">
        <f t="shared" si="8"/>
        <v/>
      </c>
      <c r="F273" t="str">
        <f>IF(A273="","",_xludf.XLOOKUP(A273,MASTER_RAW_MATERIALS!B:B,MASTER_RAW_MATERIALS!E:E,0))</f>
        <v/>
      </c>
      <c r="G273" t="str">
        <f t="shared" si="9"/>
        <v/>
      </c>
    </row>
    <row r="274" spans="1:7" x14ac:dyDescent="0.2">
      <c r="A274" t="str">
        <f>IF(MASTER_RAW_MATERIALS!B274="","",MASTER_RAW_MATERIALS!B274)</f>
        <v/>
      </c>
      <c r="B274" t="str">
        <f>IF(A274="","",MASTER_RAW_MATERIALS!D274)</f>
        <v/>
      </c>
      <c r="C274" t="str">
        <f>IF(A274="","",SUMIFS(PURCHASES!E:E,PURCHASES!D:D,A274))</f>
        <v/>
      </c>
      <c r="D274" t="str">
        <f>IF(A274="","",SUMIFS(PRODUCTION_REPORT!E:E,PRODUCTION_REPORT!D:D,A274)+SUMIFS(PRODUCTION_REPORT!G:G,PRODUCTION_REPORT!F:F,A274)+SUMIFS(PRODUCTION_REPORT!I:I,PRODUCTION_REPORT!H:H,A274)+SUMIFS(PRODUCTION_REPORT!K:K,PRODUCTION_REPORT!J:J,A274)+SUMIFS(PRODUCTION_REPORT!M:M,PRODUCTION_REPORT!L:L,A274)+SUMIFS(PRODUCTION_REPORT!O:O,PRODUCTION_REPORT!N:N,A274))</f>
        <v/>
      </c>
      <c r="E274" t="str">
        <f t="shared" si="8"/>
        <v/>
      </c>
      <c r="F274" t="str">
        <f>IF(A274="","",_xludf.XLOOKUP(A274,MASTER_RAW_MATERIALS!B:B,MASTER_RAW_MATERIALS!E:E,0))</f>
        <v/>
      </c>
      <c r="G274" t="str">
        <f t="shared" si="9"/>
        <v/>
      </c>
    </row>
    <row r="275" spans="1:7" x14ac:dyDescent="0.2">
      <c r="A275" t="str">
        <f>IF(MASTER_RAW_MATERIALS!B275="","",MASTER_RAW_MATERIALS!B275)</f>
        <v/>
      </c>
      <c r="B275" t="str">
        <f>IF(A275="","",MASTER_RAW_MATERIALS!D275)</f>
        <v/>
      </c>
      <c r="C275" t="str">
        <f>IF(A275="","",SUMIFS(PURCHASES!E:E,PURCHASES!D:D,A275))</f>
        <v/>
      </c>
      <c r="D275" t="str">
        <f>IF(A275="","",SUMIFS(PRODUCTION_REPORT!E:E,PRODUCTION_REPORT!D:D,A275)+SUMIFS(PRODUCTION_REPORT!G:G,PRODUCTION_REPORT!F:F,A275)+SUMIFS(PRODUCTION_REPORT!I:I,PRODUCTION_REPORT!H:H,A275)+SUMIFS(PRODUCTION_REPORT!K:K,PRODUCTION_REPORT!J:J,A275)+SUMIFS(PRODUCTION_REPORT!M:M,PRODUCTION_REPORT!L:L,A275)+SUMIFS(PRODUCTION_REPORT!O:O,PRODUCTION_REPORT!N:N,A275))</f>
        <v/>
      </c>
      <c r="E275" t="str">
        <f t="shared" si="8"/>
        <v/>
      </c>
      <c r="F275" t="str">
        <f>IF(A275="","",_xludf.XLOOKUP(A275,MASTER_RAW_MATERIALS!B:B,MASTER_RAW_MATERIALS!E:E,0))</f>
        <v/>
      </c>
      <c r="G275" t="str">
        <f t="shared" si="9"/>
        <v/>
      </c>
    </row>
    <row r="276" spans="1:7" x14ac:dyDescent="0.2">
      <c r="A276" t="str">
        <f>IF(MASTER_RAW_MATERIALS!B276="","",MASTER_RAW_MATERIALS!B276)</f>
        <v/>
      </c>
      <c r="B276" t="str">
        <f>IF(A276="","",MASTER_RAW_MATERIALS!D276)</f>
        <v/>
      </c>
      <c r="C276" t="str">
        <f>IF(A276="","",SUMIFS(PURCHASES!E:E,PURCHASES!D:D,A276))</f>
        <v/>
      </c>
      <c r="D276" t="str">
        <f>IF(A276="","",SUMIFS(PRODUCTION_REPORT!E:E,PRODUCTION_REPORT!D:D,A276)+SUMIFS(PRODUCTION_REPORT!G:G,PRODUCTION_REPORT!F:F,A276)+SUMIFS(PRODUCTION_REPORT!I:I,PRODUCTION_REPORT!H:H,A276)+SUMIFS(PRODUCTION_REPORT!K:K,PRODUCTION_REPORT!J:J,A276)+SUMIFS(PRODUCTION_REPORT!M:M,PRODUCTION_REPORT!L:L,A276)+SUMIFS(PRODUCTION_REPORT!O:O,PRODUCTION_REPORT!N:N,A276))</f>
        <v/>
      </c>
      <c r="E276" t="str">
        <f t="shared" si="8"/>
        <v/>
      </c>
      <c r="F276" t="str">
        <f>IF(A276="","",_xludf.XLOOKUP(A276,MASTER_RAW_MATERIALS!B:B,MASTER_RAW_MATERIALS!E:E,0))</f>
        <v/>
      </c>
      <c r="G276" t="str">
        <f t="shared" si="9"/>
        <v/>
      </c>
    </row>
    <row r="277" spans="1:7" x14ac:dyDescent="0.2">
      <c r="A277" t="str">
        <f>IF(MASTER_RAW_MATERIALS!B277="","",MASTER_RAW_MATERIALS!B277)</f>
        <v/>
      </c>
      <c r="B277" t="str">
        <f>IF(A277="","",MASTER_RAW_MATERIALS!D277)</f>
        <v/>
      </c>
      <c r="C277" t="str">
        <f>IF(A277="","",SUMIFS(PURCHASES!E:E,PURCHASES!D:D,A277))</f>
        <v/>
      </c>
      <c r="D277" t="str">
        <f>IF(A277="","",SUMIFS(PRODUCTION_REPORT!E:E,PRODUCTION_REPORT!D:D,A277)+SUMIFS(PRODUCTION_REPORT!G:G,PRODUCTION_REPORT!F:F,A277)+SUMIFS(PRODUCTION_REPORT!I:I,PRODUCTION_REPORT!H:H,A277)+SUMIFS(PRODUCTION_REPORT!K:K,PRODUCTION_REPORT!J:J,A277)+SUMIFS(PRODUCTION_REPORT!M:M,PRODUCTION_REPORT!L:L,A277)+SUMIFS(PRODUCTION_REPORT!O:O,PRODUCTION_REPORT!N:N,A277))</f>
        <v/>
      </c>
      <c r="E277" t="str">
        <f t="shared" si="8"/>
        <v/>
      </c>
      <c r="F277" t="str">
        <f>IF(A277="","",_xludf.XLOOKUP(A277,MASTER_RAW_MATERIALS!B:B,MASTER_RAW_MATERIALS!E:E,0))</f>
        <v/>
      </c>
      <c r="G277" t="str">
        <f t="shared" si="9"/>
        <v/>
      </c>
    </row>
    <row r="278" spans="1:7" x14ac:dyDescent="0.2">
      <c r="A278" t="str">
        <f>IF(MASTER_RAW_MATERIALS!B278="","",MASTER_RAW_MATERIALS!B278)</f>
        <v/>
      </c>
      <c r="B278" t="str">
        <f>IF(A278="","",MASTER_RAW_MATERIALS!D278)</f>
        <v/>
      </c>
      <c r="C278" t="str">
        <f>IF(A278="","",SUMIFS(PURCHASES!E:E,PURCHASES!D:D,A278))</f>
        <v/>
      </c>
      <c r="D278" t="str">
        <f>IF(A278="","",SUMIFS(PRODUCTION_REPORT!E:E,PRODUCTION_REPORT!D:D,A278)+SUMIFS(PRODUCTION_REPORT!G:G,PRODUCTION_REPORT!F:F,A278)+SUMIFS(PRODUCTION_REPORT!I:I,PRODUCTION_REPORT!H:H,A278)+SUMIFS(PRODUCTION_REPORT!K:K,PRODUCTION_REPORT!J:J,A278)+SUMIFS(PRODUCTION_REPORT!M:M,PRODUCTION_REPORT!L:L,A278)+SUMIFS(PRODUCTION_REPORT!O:O,PRODUCTION_REPORT!N:N,A278))</f>
        <v/>
      </c>
      <c r="E278" t="str">
        <f t="shared" si="8"/>
        <v/>
      </c>
      <c r="F278" t="str">
        <f>IF(A278="","",_xludf.XLOOKUP(A278,MASTER_RAW_MATERIALS!B:B,MASTER_RAW_MATERIALS!E:E,0))</f>
        <v/>
      </c>
      <c r="G278" t="str">
        <f t="shared" si="9"/>
        <v/>
      </c>
    </row>
    <row r="279" spans="1:7" x14ac:dyDescent="0.2">
      <c r="A279" t="str">
        <f>IF(MASTER_RAW_MATERIALS!B279="","",MASTER_RAW_MATERIALS!B279)</f>
        <v/>
      </c>
      <c r="B279" t="str">
        <f>IF(A279="","",MASTER_RAW_MATERIALS!D279)</f>
        <v/>
      </c>
      <c r="C279" t="str">
        <f>IF(A279="","",SUMIFS(PURCHASES!E:E,PURCHASES!D:D,A279))</f>
        <v/>
      </c>
      <c r="D279" t="str">
        <f>IF(A279="","",SUMIFS(PRODUCTION_REPORT!E:E,PRODUCTION_REPORT!D:D,A279)+SUMIFS(PRODUCTION_REPORT!G:G,PRODUCTION_REPORT!F:F,A279)+SUMIFS(PRODUCTION_REPORT!I:I,PRODUCTION_REPORT!H:H,A279)+SUMIFS(PRODUCTION_REPORT!K:K,PRODUCTION_REPORT!J:J,A279)+SUMIFS(PRODUCTION_REPORT!M:M,PRODUCTION_REPORT!L:L,A279)+SUMIFS(PRODUCTION_REPORT!O:O,PRODUCTION_REPORT!N:N,A279))</f>
        <v/>
      </c>
      <c r="E279" t="str">
        <f t="shared" si="8"/>
        <v/>
      </c>
      <c r="F279" t="str">
        <f>IF(A279="","",_xludf.XLOOKUP(A279,MASTER_RAW_MATERIALS!B:B,MASTER_RAW_MATERIALS!E:E,0))</f>
        <v/>
      </c>
      <c r="G279" t="str">
        <f t="shared" si="9"/>
        <v/>
      </c>
    </row>
    <row r="280" spans="1:7" x14ac:dyDescent="0.2">
      <c r="A280" t="str">
        <f>IF(MASTER_RAW_MATERIALS!B280="","",MASTER_RAW_MATERIALS!B280)</f>
        <v/>
      </c>
      <c r="B280" t="str">
        <f>IF(A280="","",MASTER_RAW_MATERIALS!D280)</f>
        <v/>
      </c>
      <c r="C280" t="str">
        <f>IF(A280="","",SUMIFS(PURCHASES!E:E,PURCHASES!D:D,A280))</f>
        <v/>
      </c>
      <c r="D280" t="str">
        <f>IF(A280="","",SUMIFS(PRODUCTION_REPORT!E:E,PRODUCTION_REPORT!D:D,A280)+SUMIFS(PRODUCTION_REPORT!G:G,PRODUCTION_REPORT!F:F,A280)+SUMIFS(PRODUCTION_REPORT!I:I,PRODUCTION_REPORT!H:H,A280)+SUMIFS(PRODUCTION_REPORT!K:K,PRODUCTION_REPORT!J:J,A280)+SUMIFS(PRODUCTION_REPORT!M:M,PRODUCTION_REPORT!L:L,A280)+SUMIFS(PRODUCTION_REPORT!O:O,PRODUCTION_REPORT!N:N,A280))</f>
        <v/>
      </c>
      <c r="E280" t="str">
        <f t="shared" si="8"/>
        <v/>
      </c>
      <c r="F280" t="str">
        <f>IF(A280="","",_xludf.XLOOKUP(A280,MASTER_RAW_MATERIALS!B:B,MASTER_RAW_MATERIALS!E:E,0))</f>
        <v/>
      </c>
      <c r="G280" t="str">
        <f t="shared" si="9"/>
        <v/>
      </c>
    </row>
    <row r="281" spans="1:7" x14ac:dyDescent="0.2">
      <c r="A281" t="str">
        <f>IF(MASTER_RAW_MATERIALS!B281="","",MASTER_RAW_MATERIALS!B281)</f>
        <v/>
      </c>
      <c r="B281" t="str">
        <f>IF(A281="","",MASTER_RAW_MATERIALS!D281)</f>
        <v/>
      </c>
      <c r="C281" t="str">
        <f>IF(A281="","",SUMIFS(PURCHASES!E:E,PURCHASES!D:D,A281))</f>
        <v/>
      </c>
      <c r="D281" t="str">
        <f>IF(A281="","",SUMIFS(PRODUCTION_REPORT!E:E,PRODUCTION_REPORT!D:D,A281)+SUMIFS(PRODUCTION_REPORT!G:G,PRODUCTION_REPORT!F:F,A281)+SUMIFS(PRODUCTION_REPORT!I:I,PRODUCTION_REPORT!H:H,A281)+SUMIFS(PRODUCTION_REPORT!K:K,PRODUCTION_REPORT!J:J,A281)+SUMIFS(PRODUCTION_REPORT!M:M,PRODUCTION_REPORT!L:L,A281)+SUMIFS(PRODUCTION_REPORT!O:O,PRODUCTION_REPORT!N:N,A281))</f>
        <v/>
      </c>
      <c r="E281" t="str">
        <f t="shared" si="8"/>
        <v/>
      </c>
      <c r="F281" t="str">
        <f>IF(A281="","",_xludf.XLOOKUP(A281,MASTER_RAW_MATERIALS!B:B,MASTER_RAW_MATERIALS!E:E,0))</f>
        <v/>
      </c>
      <c r="G281" t="str">
        <f t="shared" si="9"/>
        <v/>
      </c>
    </row>
    <row r="282" spans="1:7" x14ac:dyDescent="0.2">
      <c r="A282" t="str">
        <f>IF(MASTER_RAW_MATERIALS!B282="","",MASTER_RAW_MATERIALS!B282)</f>
        <v/>
      </c>
      <c r="B282" t="str">
        <f>IF(A282="","",MASTER_RAW_MATERIALS!D282)</f>
        <v/>
      </c>
      <c r="C282" t="str">
        <f>IF(A282="","",SUMIFS(PURCHASES!E:E,PURCHASES!D:D,A282))</f>
        <v/>
      </c>
      <c r="D282" t="str">
        <f>IF(A282="","",SUMIFS(PRODUCTION_REPORT!E:E,PRODUCTION_REPORT!D:D,A282)+SUMIFS(PRODUCTION_REPORT!G:G,PRODUCTION_REPORT!F:F,A282)+SUMIFS(PRODUCTION_REPORT!I:I,PRODUCTION_REPORT!H:H,A282)+SUMIFS(PRODUCTION_REPORT!K:K,PRODUCTION_REPORT!J:J,A282)+SUMIFS(PRODUCTION_REPORT!M:M,PRODUCTION_REPORT!L:L,A282)+SUMIFS(PRODUCTION_REPORT!O:O,PRODUCTION_REPORT!N:N,A282))</f>
        <v/>
      </c>
      <c r="E282" t="str">
        <f t="shared" si="8"/>
        <v/>
      </c>
      <c r="F282" t="str">
        <f>IF(A282="","",_xludf.XLOOKUP(A282,MASTER_RAW_MATERIALS!B:B,MASTER_RAW_MATERIALS!E:E,0))</f>
        <v/>
      </c>
      <c r="G282" t="str">
        <f t="shared" si="9"/>
        <v/>
      </c>
    </row>
    <row r="283" spans="1:7" x14ac:dyDescent="0.2">
      <c r="A283" t="str">
        <f>IF(MASTER_RAW_MATERIALS!B283="","",MASTER_RAW_MATERIALS!B283)</f>
        <v/>
      </c>
      <c r="B283" t="str">
        <f>IF(A283="","",MASTER_RAW_MATERIALS!D283)</f>
        <v/>
      </c>
      <c r="C283" t="str">
        <f>IF(A283="","",SUMIFS(PURCHASES!E:E,PURCHASES!D:D,A283))</f>
        <v/>
      </c>
      <c r="D283" t="str">
        <f>IF(A283="","",SUMIFS(PRODUCTION_REPORT!E:E,PRODUCTION_REPORT!D:D,A283)+SUMIFS(PRODUCTION_REPORT!G:G,PRODUCTION_REPORT!F:F,A283)+SUMIFS(PRODUCTION_REPORT!I:I,PRODUCTION_REPORT!H:H,A283)+SUMIFS(PRODUCTION_REPORT!K:K,PRODUCTION_REPORT!J:J,A283)+SUMIFS(PRODUCTION_REPORT!M:M,PRODUCTION_REPORT!L:L,A283)+SUMIFS(PRODUCTION_REPORT!O:O,PRODUCTION_REPORT!N:N,A283))</f>
        <v/>
      </c>
      <c r="E283" t="str">
        <f t="shared" si="8"/>
        <v/>
      </c>
      <c r="F283" t="str">
        <f>IF(A283="","",_xludf.XLOOKUP(A283,MASTER_RAW_MATERIALS!B:B,MASTER_RAW_MATERIALS!E:E,0))</f>
        <v/>
      </c>
      <c r="G283" t="str">
        <f t="shared" si="9"/>
        <v/>
      </c>
    </row>
    <row r="284" spans="1:7" x14ac:dyDescent="0.2">
      <c r="A284" t="str">
        <f>IF(MASTER_RAW_MATERIALS!B284="","",MASTER_RAW_MATERIALS!B284)</f>
        <v/>
      </c>
      <c r="B284" t="str">
        <f>IF(A284="","",MASTER_RAW_MATERIALS!D284)</f>
        <v/>
      </c>
      <c r="C284" t="str">
        <f>IF(A284="","",SUMIFS(PURCHASES!E:E,PURCHASES!D:D,A284))</f>
        <v/>
      </c>
      <c r="D284" t="str">
        <f>IF(A284="","",SUMIFS(PRODUCTION_REPORT!E:E,PRODUCTION_REPORT!D:D,A284)+SUMIFS(PRODUCTION_REPORT!G:G,PRODUCTION_REPORT!F:F,A284)+SUMIFS(PRODUCTION_REPORT!I:I,PRODUCTION_REPORT!H:H,A284)+SUMIFS(PRODUCTION_REPORT!K:K,PRODUCTION_REPORT!J:J,A284)+SUMIFS(PRODUCTION_REPORT!M:M,PRODUCTION_REPORT!L:L,A284)+SUMIFS(PRODUCTION_REPORT!O:O,PRODUCTION_REPORT!N:N,A284))</f>
        <v/>
      </c>
      <c r="E284" t="str">
        <f t="shared" si="8"/>
        <v/>
      </c>
      <c r="F284" t="str">
        <f>IF(A284="","",_xludf.XLOOKUP(A284,MASTER_RAW_MATERIALS!B:B,MASTER_RAW_MATERIALS!E:E,0))</f>
        <v/>
      </c>
      <c r="G284" t="str">
        <f t="shared" si="9"/>
        <v/>
      </c>
    </row>
    <row r="285" spans="1:7" x14ac:dyDescent="0.2">
      <c r="A285" t="str">
        <f>IF(MASTER_RAW_MATERIALS!B285="","",MASTER_RAW_MATERIALS!B285)</f>
        <v/>
      </c>
      <c r="B285" t="str">
        <f>IF(A285="","",MASTER_RAW_MATERIALS!D285)</f>
        <v/>
      </c>
      <c r="C285" t="str">
        <f>IF(A285="","",SUMIFS(PURCHASES!E:E,PURCHASES!D:D,A285))</f>
        <v/>
      </c>
      <c r="D285" t="str">
        <f>IF(A285="","",SUMIFS(PRODUCTION_REPORT!E:E,PRODUCTION_REPORT!D:D,A285)+SUMIFS(PRODUCTION_REPORT!G:G,PRODUCTION_REPORT!F:F,A285)+SUMIFS(PRODUCTION_REPORT!I:I,PRODUCTION_REPORT!H:H,A285)+SUMIFS(PRODUCTION_REPORT!K:K,PRODUCTION_REPORT!J:J,A285)+SUMIFS(PRODUCTION_REPORT!M:M,PRODUCTION_REPORT!L:L,A285)+SUMIFS(PRODUCTION_REPORT!O:O,PRODUCTION_REPORT!N:N,A285))</f>
        <v/>
      </c>
      <c r="E285" t="str">
        <f t="shared" si="8"/>
        <v/>
      </c>
      <c r="F285" t="str">
        <f>IF(A285="","",_xludf.XLOOKUP(A285,MASTER_RAW_MATERIALS!B:B,MASTER_RAW_MATERIALS!E:E,0))</f>
        <v/>
      </c>
      <c r="G285" t="str">
        <f t="shared" si="9"/>
        <v/>
      </c>
    </row>
    <row r="286" spans="1:7" x14ac:dyDescent="0.2">
      <c r="A286" t="str">
        <f>IF(MASTER_RAW_MATERIALS!B286="","",MASTER_RAW_MATERIALS!B286)</f>
        <v/>
      </c>
      <c r="B286" t="str">
        <f>IF(A286="","",MASTER_RAW_MATERIALS!D286)</f>
        <v/>
      </c>
      <c r="C286" t="str">
        <f>IF(A286="","",SUMIFS(PURCHASES!E:E,PURCHASES!D:D,A286))</f>
        <v/>
      </c>
      <c r="D286" t="str">
        <f>IF(A286="","",SUMIFS(PRODUCTION_REPORT!E:E,PRODUCTION_REPORT!D:D,A286)+SUMIFS(PRODUCTION_REPORT!G:G,PRODUCTION_REPORT!F:F,A286)+SUMIFS(PRODUCTION_REPORT!I:I,PRODUCTION_REPORT!H:H,A286)+SUMIFS(PRODUCTION_REPORT!K:K,PRODUCTION_REPORT!J:J,A286)+SUMIFS(PRODUCTION_REPORT!M:M,PRODUCTION_REPORT!L:L,A286)+SUMIFS(PRODUCTION_REPORT!O:O,PRODUCTION_REPORT!N:N,A286))</f>
        <v/>
      </c>
      <c r="E286" t="str">
        <f t="shared" si="8"/>
        <v/>
      </c>
      <c r="F286" t="str">
        <f>IF(A286="","",_xludf.XLOOKUP(A286,MASTER_RAW_MATERIALS!B:B,MASTER_RAW_MATERIALS!E:E,0))</f>
        <v/>
      </c>
      <c r="G286" t="str">
        <f t="shared" si="9"/>
        <v/>
      </c>
    </row>
    <row r="287" spans="1:7" x14ac:dyDescent="0.2">
      <c r="A287" t="str">
        <f>IF(MASTER_RAW_MATERIALS!B287="","",MASTER_RAW_MATERIALS!B287)</f>
        <v/>
      </c>
      <c r="B287" t="str">
        <f>IF(A287="","",MASTER_RAW_MATERIALS!D287)</f>
        <v/>
      </c>
      <c r="C287" t="str">
        <f>IF(A287="","",SUMIFS(PURCHASES!E:E,PURCHASES!D:D,A287))</f>
        <v/>
      </c>
      <c r="D287" t="str">
        <f>IF(A287="","",SUMIFS(PRODUCTION_REPORT!E:E,PRODUCTION_REPORT!D:D,A287)+SUMIFS(PRODUCTION_REPORT!G:G,PRODUCTION_REPORT!F:F,A287)+SUMIFS(PRODUCTION_REPORT!I:I,PRODUCTION_REPORT!H:H,A287)+SUMIFS(PRODUCTION_REPORT!K:K,PRODUCTION_REPORT!J:J,A287)+SUMIFS(PRODUCTION_REPORT!M:M,PRODUCTION_REPORT!L:L,A287)+SUMIFS(PRODUCTION_REPORT!O:O,PRODUCTION_REPORT!N:N,A287))</f>
        <v/>
      </c>
      <c r="E287" t="str">
        <f t="shared" si="8"/>
        <v/>
      </c>
      <c r="F287" t="str">
        <f>IF(A287="","",_xludf.XLOOKUP(A287,MASTER_RAW_MATERIALS!B:B,MASTER_RAW_MATERIALS!E:E,0))</f>
        <v/>
      </c>
      <c r="G287" t="str">
        <f t="shared" si="9"/>
        <v/>
      </c>
    </row>
    <row r="288" spans="1:7" x14ac:dyDescent="0.2">
      <c r="A288" t="str">
        <f>IF(MASTER_RAW_MATERIALS!B288="","",MASTER_RAW_MATERIALS!B288)</f>
        <v/>
      </c>
      <c r="B288" t="str">
        <f>IF(A288="","",MASTER_RAW_MATERIALS!D288)</f>
        <v/>
      </c>
      <c r="C288" t="str">
        <f>IF(A288="","",SUMIFS(PURCHASES!E:E,PURCHASES!D:D,A288))</f>
        <v/>
      </c>
      <c r="D288" t="str">
        <f>IF(A288="","",SUMIFS(PRODUCTION_REPORT!E:E,PRODUCTION_REPORT!D:D,A288)+SUMIFS(PRODUCTION_REPORT!G:G,PRODUCTION_REPORT!F:F,A288)+SUMIFS(PRODUCTION_REPORT!I:I,PRODUCTION_REPORT!H:H,A288)+SUMIFS(PRODUCTION_REPORT!K:K,PRODUCTION_REPORT!J:J,A288)+SUMIFS(PRODUCTION_REPORT!M:M,PRODUCTION_REPORT!L:L,A288)+SUMIFS(PRODUCTION_REPORT!O:O,PRODUCTION_REPORT!N:N,A288))</f>
        <v/>
      </c>
      <c r="E288" t="str">
        <f t="shared" si="8"/>
        <v/>
      </c>
      <c r="F288" t="str">
        <f>IF(A288="","",_xludf.XLOOKUP(A288,MASTER_RAW_MATERIALS!B:B,MASTER_RAW_MATERIALS!E:E,0))</f>
        <v/>
      </c>
      <c r="G288" t="str">
        <f t="shared" si="9"/>
        <v/>
      </c>
    </row>
    <row r="289" spans="1:7" x14ac:dyDescent="0.2">
      <c r="A289" t="str">
        <f>IF(MASTER_RAW_MATERIALS!B289="","",MASTER_RAW_MATERIALS!B289)</f>
        <v/>
      </c>
      <c r="B289" t="str">
        <f>IF(A289="","",MASTER_RAW_MATERIALS!D289)</f>
        <v/>
      </c>
      <c r="C289" t="str">
        <f>IF(A289="","",SUMIFS(PURCHASES!E:E,PURCHASES!D:D,A289))</f>
        <v/>
      </c>
      <c r="D289" t="str">
        <f>IF(A289="","",SUMIFS(PRODUCTION_REPORT!E:E,PRODUCTION_REPORT!D:D,A289)+SUMIFS(PRODUCTION_REPORT!G:G,PRODUCTION_REPORT!F:F,A289)+SUMIFS(PRODUCTION_REPORT!I:I,PRODUCTION_REPORT!H:H,A289)+SUMIFS(PRODUCTION_REPORT!K:K,PRODUCTION_REPORT!J:J,A289)+SUMIFS(PRODUCTION_REPORT!M:M,PRODUCTION_REPORT!L:L,A289)+SUMIFS(PRODUCTION_REPORT!O:O,PRODUCTION_REPORT!N:N,A289))</f>
        <v/>
      </c>
      <c r="E289" t="str">
        <f t="shared" si="8"/>
        <v/>
      </c>
      <c r="F289" t="str">
        <f>IF(A289="","",_xludf.XLOOKUP(A289,MASTER_RAW_MATERIALS!B:B,MASTER_RAW_MATERIALS!E:E,0))</f>
        <v/>
      </c>
      <c r="G289" t="str">
        <f t="shared" si="9"/>
        <v/>
      </c>
    </row>
    <row r="290" spans="1:7" x14ac:dyDescent="0.2">
      <c r="A290" t="str">
        <f>IF(MASTER_RAW_MATERIALS!B290="","",MASTER_RAW_MATERIALS!B290)</f>
        <v/>
      </c>
      <c r="B290" t="str">
        <f>IF(A290="","",MASTER_RAW_MATERIALS!D290)</f>
        <v/>
      </c>
      <c r="C290" t="str">
        <f>IF(A290="","",SUMIFS(PURCHASES!E:E,PURCHASES!D:D,A290))</f>
        <v/>
      </c>
      <c r="D290" t="str">
        <f>IF(A290="","",SUMIFS(PRODUCTION_REPORT!E:E,PRODUCTION_REPORT!D:D,A290)+SUMIFS(PRODUCTION_REPORT!G:G,PRODUCTION_REPORT!F:F,A290)+SUMIFS(PRODUCTION_REPORT!I:I,PRODUCTION_REPORT!H:H,A290)+SUMIFS(PRODUCTION_REPORT!K:K,PRODUCTION_REPORT!J:J,A290)+SUMIFS(PRODUCTION_REPORT!M:M,PRODUCTION_REPORT!L:L,A290)+SUMIFS(PRODUCTION_REPORT!O:O,PRODUCTION_REPORT!N:N,A290))</f>
        <v/>
      </c>
      <c r="E290" t="str">
        <f t="shared" si="8"/>
        <v/>
      </c>
      <c r="F290" t="str">
        <f>IF(A290="","",_xludf.XLOOKUP(A290,MASTER_RAW_MATERIALS!B:B,MASTER_RAW_MATERIALS!E:E,0))</f>
        <v/>
      </c>
      <c r="G290" t="str">
        <f t="shared" si="9"/>
        <v/>
      </c>
    </row>
    <row r="291" spans="1:7" x14ac:dyDescent="0.2">
      <c r="A291" t="str">
        <f>IF(MASTER_RAW_MATERIALS!B291="","",MASTER_RAW_MATERIALS!B291)</f>
        <v/>
      </c>
      <c r="B291" t="str">
        <f>IF(A291="","",MASTER_RAW_MATERIALS!D291)</f>
        <v/>
      </c>
      <c r="C291" t="str">
        <f>IF(A291="","",SUMIFS(PURCHASES!E:E,PURCHASES!D:D,A291))</f>
        <v/>
      </c>
      <c r="D291" t="str">
        <f>IF(A291="","",SUMIFS(PRODUCTION_REPORT!E:E,PRODUCTION_REPORT!D:D,A291)+SUMIFS(PRODUCTION_REPORT!G:G,PRODUCTION_REPORT!F:F,A291)+SUMIFS(PRODUCTION_REPORT!I:I,PRODUCTION_REPORT!H:H,A291)+SUMIFS(PRODUCTION_REPORT!K:K,PRODUCTION_REPORT!J:J,A291)+SUMIFS(PRODUCTION_REPORT!M:M,PRODUCTION_REPORT!L:L,A291)+SUMIFS(PRODUCTION_REPORT!O:O,PRODUCTION_REPORT!N:N,A291))</f>
        <v/>
      </c>
      <c r="E291" t="str">
        <f t="shared" si="8"/>
        <v/>
      </c>
      <c r="F291" t="str">
        <f>IF(A291="","",_xludf.XLOOKUP(A291,MASTER_RAW_MATERIALS!B:B,MASTER_RAW_MATERIALS!E:E,0))</f>
        <v/>
      </c>
      <c r="G291" t="str">
        <f t="shared" si="9"/>
        <v/>
      </c>
    </row>
    <row r="292" spans="1:7" x14ac:dyDescent="0.2">
      <c r="A292" t="str">
        <f>IF(MASTER_RAW_MATERIALS!B292="","",MASTER_RAW_MATERIALS!B292)</f>
        <v/>
      </c>
      <c r="B292" t="str">
        <f>IF(A292="","",MASTER_RAW_MATERIALS!D292)</f>
        <v/>
      </c>
      <c r="C292" t="str">
        <f>IF(A292="","",SUMIFS(PURCHASES!E:E,PURCHASES!D:D,A292))</f>
        <v/>
      </c>
      <c r="D292" t="str">
        <f>IF(A292="","",SUMIFS(PRODUCTION_REPORT!E:E,PRODUCTION_REPORT!D:D,A292)+SUMIFS(PRODUCTION_REPORT!G:G,PRODUCTION_REPORT!F:F,A292)+SUMIFS(PRODUCTION_REPORT!I:I,PRODUCTION_REPORT!H:H,A292)+SUMIFS(PRODUCTION_REPORT!K:K,PRODUCTION_REPORT!J:J,A292)+SUMIFS(PRODUCTION_REPORT!M:M,PRODUCTION_REPORT!L:L,A292)+SUMIFS(PRODUCTION_REPORT!O:O,PRODUCTION_REPORT!N:N,A292))</f>
        <v/>
      </c>
      <c r="E292" t="str">
        <f t="shared" si="8"/>
        <v/>
      </c>
      <c r="F292" t="str">
        <f>IF(A292="","",_xludf.XLOOKUP(A292,MASTER_RAW_MATERIALS!B:B,MASTER_RAW_MATERIALS!E:E,0))</f>
        <v/>
      </c>
      <c r="G292" t="str">
        <f t="shared" si="9"/>
        <v/>
      </c>
    </row>
    <row r="293" spans="1:7" x14ac:dyDescent="0.2">
      <c r="A293" t="str">
        <f>IF(MASTER_RAW_MATERIALS!B293="","",MASTER_RAW_MATERIALS!B293)</f>
        <v/>
      </c>
      <c r="B293" t="str">
        <f>IF(A293="","",MASTER_RAW_MATERIALS!D293)</f>
        <v/>
      </c>
      <c r="C293" t="str">
        <f>IF(A293="","",SUMIFS(PURCHASES!E:E,PURCHASES!D:D,A293))</f>
        <v/>
      </c>
      <c r="D293" t="str">
        <f>IF(A293="","",SUMIFS(PRODUCTION_REPORT!E:E,PRODUCTION_REPORT!D:D,A293)+SUMIFS(PRODUCTION_REPORT!G:G,PRODUCTION_REPORT!F:F,A293)+SUMIFS(PRODUCTION_REPORT!I:I,PRODUCTION_REPORT!H:H,A293)+SUMIFS(PRODUCTION_REPORT!K:K,PRODUCTION_REPORT!J:J,A293)+SUMIFS(PRODUCTION_REPORT!M:M,PRODUCTION_REPORT!L:L,A293)+SUMIFS(PRODUCTION_REPORT!O:O,PRODUCTION_REPORT!N:N,A293))</f>
        <v/>
      </c>
      <c r="E293" t="str">
        <f t="shared" si="8"/>
        <v/>
      </c>
      <c r="F293" t="str">
        <f>IF(A293="","",_xludf.XLOOKUP(A293,MASTER_RAW_MATERIALS!B:B,MASTER_RAW_MATERIALS!E:E,0))</f>
        <v/>
      </c>
      <c r="G293" t="str">
        <f t="shared" si="9"/>
        <v/>
      </c>
    </row>
    <row r="294" spans="1:7" x14ac:dyDescent="0.2">
      <c r="A294" t="str">
        <f>IF(MASTER_RAW_MATERIALS!B294="","",MASTER_RAW_MATERIALS!B294)</f>
        <v/>
      </c>
      <c r="B294" t="str">
        <f>IF(A294="","",MASTER_RAW_MATERIALS!D294)</f>
        <v/>
      </c>
      <c r="C294" t="str">
        <f>IF(A294="","",SUMIFS(PURCHASES!E:E,PURCHASES!D:D,A294))</f>
        <v/>
      </c>
      <c r="D294" t="str">
        <f>IF(A294="","",SUMIFS(PRODUCTION_REPORT!E:E,PRODUCTION_REPORT!D:D,A294)+SUMIFS(PRODUCTION_REPORT!G:G,PRODUCTION_REPORT!F:F,A294)+SUMIFS(PRODUCTION_REPORT!I:I,PRODUCTION_REPORT!H:H,A294)+SUMIFS(PRODUCTION_REPORT!K:K,PRODUCTION_REPORT!J:J,A294)+SUMIFS(PRODUCTION_REPORT!M:M,PRODUCTION_REPORT!L:L,A294)+SUMIFS(PRODUCTION_REPORT!O:O,PRODUCTION_REPORT!N:N,A294))</f>
        <v/>
      </c>
      <c r="E294" t="str">
        <f t="shared" si="8"/>
        <v/>
      </c>
      <c r="F294" t="str">
        <f>IF(A294="","",_xludf.XLOOKUP(A294,MASTER_RAW_MATERIALS!B:B,MASTER_RAW_MATERIALS!E:E,0))</f>
        <v/>
      </c>
      <c r="G294" t="str">
        <f t="shared" si="9"/>
        <v/>
      </c>
    </row>
    <row r="295" spans="1:7" x14ac:dyDescent="0.2">
      <c r="A295" t="str">
        <f>IF(MASTER_RAW_MATERIALS!B295="","",MASTER_RAW_MATERIALS!B295)</f>
        <v/>
      </c>
      <c r="B295" t="str">
        <f>IF(A295="","",MASTER_RAW_MATERIALS!D295)</f>
        <v/>
      </c>
      <c r="C295" t="str">
        <f>IF(A295="","",SUMIFS(PURCHASES!E:E,PURCHASES!D:D,A295))</f>
        <v/>
      </c>
      <c r="D295" t="str">
        <f>IF(A295="","",SUMIFS(PRODUCTION_REPORT!E:E,PRODUCTION_REPORT!D:D,A295)+SUMIFS(PRODUCTION_REPORT!G:G,PRODUCTION_REPORT!F:F,A295)+SUMIFS(PRODUCTION_REPORT!I:I,PRODUCTION_REPORT!H:H,A295)+SUMIFS(PRODUCTION_REPORT!K:K,PRODUCTION_REPORT!J:J,A295)+SUMIFS(PRODUCTION_REPORT!M:M,PRODUCTION_REPORT!L:L,A295)+SUMIFS(PRODUCTION_REPORT!O:O,PRODUCTION_REPORT!N:N,A295))</f>
        <v/>
      </c>
      <c r="E295" t="str">
        <f t="shared" si="8"/>
        <v/>
      </c>
      <c r="F295" t="str">
        <f>IF(A295="","",_xludf.XLOOKUP(A295,MASTER_RAW_MATERIALS!B:B,MASTER_RAW_MATERIALS!E:E,0))</f>
        <v/>
      </c>
      <c r="G295" t="str">
        <f t="shared" si="9"/>
        <v/>
      </c>
    </row>
    <row r="296" spans="1:7" x14ac:dyDescent="0.2">
      <c r="A296" t="str">
        <f>IF(MASTER_RAW_MATERIALS!B296="","",MASTER_RAW_MATERIALS!B296)</f>
        <v/>
      </c>
      <c r="B296" t="str">
        <f>IF(A296="","",MASTER_RAW_MATERIALS!D296)</f>
        <v/>
      </c>
      <c r="C296" t="str">
        <f>IF(A296="","",SUMIFS(PURCHASES!E:E,PURCHASES!D:D,A296))</f>
        <v/>
      </c>
      <c r="D296" t="str">
        <f>IF(A296="","",SUMIFS(PRODUCTION_REPORT!E:E,PRODUCTION_REPORT!D:D,A296)+SUMIFS(PRODUCTION_REPORT!G:G,PRODUCTION_REPORT!F:F,A296)+SUMIFS(PRODUCTION_REPORT!I:I,PRODUCTION_REPORT!H:H,A296)+SUMIFS(PRODUCTION_REPORT!K:K,PRODUCTION_REPORT!J:J,A296)+SUMIFS(PRODUCTION_REPORT!M:M,PRODUCTION_REPORT!L:L,A296)+SUMIFS(PRODUCTION_REPORT!O:O,PRODUCTION_REPORT!N:N,A296))</f>
        <v/>
      </c>
      <c r="E296" t="str">
        <f t="shared" si="8"/>
        <v/>
      </c>
      <c r="F296" t="str">
        <f>IF(A296="","",_xludf.XLOOKUP(A296,MASTER_RAW_MATERIALS!B:B,MASTER_RAW_MATERIALS!E:E,0))</f>
        <v/>
      </c>
      <c r="G296" t="str">
        <f t="shared" si="9"/>
        <v/>
      </c>
    </row>
    <row r="297" spans="1:7" x14ac:dyDescent="0.2">
      <c r="A297" t="str">
        <f>IF(MASTER_RAW_MATERIALS!B297="","",MASTER_RAW_MATERIALS!B297)</f>
        <v/>
      </c>
      <c r="B297" t="str">
        <f>IF(A297="","",MASTER_RAW_MATERIALS!D297)</f>
        <v/>
      </c>
      <c r="C297" t="str">
        <f>IF(A297="","",SUMIFS(PURCHASES!E:E,PURCHASES!D:D,A297))</f>
        <v/>
      </c>
      <c r="D297" t="str">
        <f>IF(A297="","",SUMIFS(PRODUCTION_REPORT!E:E,PRODUCTION_REPORT!D:D,A297)+SUMIFS(PRODUCTION_REPORT!G:G,PRODUCTION_REPORT!F:F,A297)+SUMIFS(PRODUCTION_REPORT!I:I,PRODUCTION_REPORT!H:H,A297)+SUMIFS(PRODUCTION_REPORT!K:K,PRODUCTION_REPORT!J:J,A297)+SUMIFS(PRODUCTION_REPORT!M:M,PRODUCTION_REPORT!L:L,A297)+SUMIFS(PRODUCTION_REPORT!O:O,PRODUCTION_REPORT!N:N,A297))</f>
        <v/>
      </c>
      <c r="E297" t="str">
        <f t="shared" si="8"/>
        <v/>
      </c>
      <c r="F297" t="str">
        <f>IF(A297="","",_xludf.XLOOKUP(A297,MASTER_RAW_MATERIALS!B:B,MASTER_RAW_MATERIALS!E:E,0))</f>
        <v/>
      </c>
      <c r="G297" t="str">
        <f t="shared" si="9"/>
        <v/>
      </c>
    </row>
    <row r="298" spans="1:7" x14ac:dyDescent="0.2">
      <c r="A298" t="str">
        <f>IF(MASTER_RAW_MATERIALS!B298="","",MASTER_RAW_MATERIALS!B298)</f>
        <v/>
      </c>
      <c r="B298" t="str">
        <f>IF(A298="","",MASTER_RAW_MATERIALS!D298)</f>
        <v/>
      </c>
      <c r="C298" t="str">
        <f>IF(A298="","",SUMIFS(PURCHASES!E:E,PURCHASES!D:D,A298))</f>
        <v/>
      </c>
      <c r="D298" t="str">
        <f>IF(A298="","",SUMIFS(PRODUCTION_REPORT!E:E,PRODUCTION_REPORT!D:D,A298)+SUMIFS(PRODUCTION_REPORT!G:G,PRODUCTION_REPORT!F:F,A298)+SUMIFS(PRODUCTION_REPORT!I:I,PRODUCTION_REPORT!H:H,A298)+SUMIFS(PRODUCTION_REPORT!K:K,PRODUCTION_REPORT!J:J,A298)+SUMIFS(PRODUCTION_REPORT!M:M,PRODUCTION_REPORT!L:L,A298)+SUMIFS(PRODUCTION_REPORT!O:O,PRODUCTION_REPORT!N:N,A298))</f>
        <v/>
      </c>
      <c r="E298" t="str">
        <f t="shared" si="8"/>
        <v/>
      </c>
      <c r="F298" t="str">
        <f>IF(A298="","",_xludf.XLOOKUP(A298,MASTER_RAW_MATERIALS!B:B,MASTER_RAW_MATERIALS!E:E,0))</f>
        <v/>
      </c>
      <c r="G298" t="str">
        <f t="shared" si="9"/>
        <v/>
      </c>
    </row>
    <row r="299" spans="1:7" x14ac:dyDescent="0.2">
      <c r="A299" t="str">
        <f>IF(MASTER_RAW_MATERIALS!B299="","",MASTER_RAW_MATERIALS!B299)</f>
        <v/>
      </c>
      <c r="B299" t="str">
        <f>IF(A299="","",MASTER_RAW_MATERIALS!D299)</f>
        <v/>
      </c>
      <c r="C299" t="str">
        <f>IF(A299="","",SUMIFS(PURCHASES!E:E,PURCHASES!D:D,A299))</f>
        <v/>
      </c>
      <c r="D299" t="str">
        <f>IF(A299="","",SUMIFS(PRODUCTION_REPORT!E:E,PRODUCTION_REPORT!D:D,A299)+SUMIFS(PRODUCTION_REPORT!G:G,PRODUCTION_REPORT!F:F,A299)+SUMIFS(PRODUCTION_REPORT!I:I,PRODUCTION_REPORT!H:H,A299)+SUMIFS(PRODUCTION_REPORT!K:K,PRODUCTION_REPORT!J:J,A299)+SUMIFS(PRODUCTION_REPORT!M:M,PRODUCTION_REPORT!L:L,A299)+SUMIFS(PRODUCTION_REPORT!O:O,PRODUCTION_REPORT!N:N,A299))</f>
        <v/>
      </c>
      <c r="E299" t="str">
        <f t="shared" si="8"/>
        <v/>
      </c>
      <c r="F299" t="str">
        <f>IF(A299="","",_xludf.XLOOKUP(A299,MASTER_RAW_MATERIALS!B:B,MASTER_RAW_MATERIALS!E:E,0))</f>
        <v/>
      </c>
      <c r="G299" t="str">
        <f t="shared" si="9"/>
        <v/>
      </c>
    </row>
    <row r="300" spans="1:7" x14ac:dyDescent="0.2">
      <c r="A300" t="str">
        <f>IF(MASTER_RAW_MATERIALS!B300="","",MASTER_RAW_MATERIALS!B300)</f>
        <v/>
      </c>
      <c r="B300" t="str">
        <f>IF(A300="","",MASTER_RAW_MATERIALS!D300)</f>
        <v/>
      </c>
      <c r="C300" t="str">
        <f>IF(A300="","",SUMIFS(PURCHASES!E:E,PURCHASES!D:D,A300))</f>
        <v/>
      </c>
      <c r="D300" t="str">
        <f>IF(A300="","",SUMIFS(PRODUCTION_REPORT!E:E,PRODUCTION_REPORT!D:D,A300)+SUMIFS(PRODUCTION_REPORT!G:G,PRODUCTION_REPORT!F:F,A300)+SUMIFS(PRODUCTION_REPORT!I:I,PRODUCTION_REPORT!H:H,A300)+SUMIFS(PRODUCTION_REPORT!K:K,PRODUCTION_REPORT!J:J,A300)+SUMIFS(PRODUCTION_REPORT!M:M,PRODUCTION_REPORT!L:L,A300)+SUMIFS(PRODUCTION_REPORT!O:O,PRODUCTION_REPORT!N:N,A300))</f>
        <v/>
      </c>
      <c r="E300" t="str">
        <f t="shared" si="8"/>
        <v/>
      </c>
      <c r="F300" t="str">
        <f>IF(A300="","",_xludf.XLOOKUP(A300,MASTER_RAW_MATERIALS!B:B,MASTER_RAW_MATERIALS!E:E,0))</f>
        <v/>
      </c>
      <c r="G300" t="str">
        <f t="shared" si="9"/>
        <v/>
      </c>
    </row>
    <row r="301" spans="1:7" x14ac:dyDescent="0.2">
      <c r="A301" t="str">
        <f>IF(MASTER_RAW_MATERIALS!B301="","",MASTER_RAW_MATERIALS!B301)</f>
        <v/>
      </c>
      <c r="B301" t="str">
        <f>IF(A301="","",MASTER_RAW_MATERIALS!D301)</f>
        <v/>
      </c>
      <c r="C301" t="str">
        <f>IF(A301="","",SUMIFS(PURCHASES!E:E,PURCHASES!D:D,A301))</f>
        <v/>
      </c>
      <c r="D301" t="str">
        <f>IF(A301="","",SUMIFS(PRODUCTION_REPORT!E:E,PRODUCTION_REPORT!D:D,A301)+SUMIFS(PRODUCTION_REPORT!G:G,PRODUCTION_REPORT!F:F,A301)+SUMIFS(PRODUCTION_REPORT!I:I,PRODUCTION_REPORT!H:H,A301)+SUMIFS(PRODUCTION_REPORT!K:K,PRODUCTION_REPORT!J:J,A301)+SUMIFS(PRODUCTION_REPORT!M:M,PRODUCTION_REPORT!L:L,A301)+SUMIFS(PRODUCTION_REPORT!O:O,PRODUCTION_REPORT!N:N,A301))</f>
        <v/>
      </c>
      <c r="E301" t="str">
        <f t="shared" si="8"/>
        <v/>
      </c>
      <c r="F301" t="str">
        <f>IF(A301="","",_xludf.XLOOKUP(A301,MASTER_RAW_MATERIALS!B:B,MASTER_RAW_MATERIALS!E:E,0))</f>
        <v/>
      </c>
      <c r="G301" t="str">
        <f t="shared" si="9"/>
        <v/>
      </c>
    </row>
    <row r="302" spans="1:7" x14ac:dyDescent="0.2">
      <c r="A302" t="str">
        <f>IF(MASTER_RAW_MATERIALS!B302="","",MASTER_RAW_MATERIALS!B302)</f>
        <v/>
      </c>
      <c r="B302" t="str">
        <f>IF(A302="","",MASTER_RAW_MATERIALS!D302)</f>
        <v/>
      </c>
      <c r="C302" t="str">
        <f>IF(A302="","",SUMIFS(PURCHASES!E:E,PURCHASES!D:D,A302))</f>
        <v/>
      </c>
      <c r="D302" t="str">
        <f>IF(A302="","",SUMIFS(PRODUCTION_REPORT!E:E,PRODUCTION_REPORT!D:D,A302)+SUMIFS(PRODUCTION_REPORT!G:G,PRODUCTION_REPORT!F:F,A302)+SUMIFS(PRODUCTION_REPORT!I:I,PRODUCTION_REPORT!H:H,A302)+SUMIFS(PRODUCTION_REPORT!K:K,PRODUCTION_REPORT!J:J,A302)+SUMIFS(PRODUCTION_REPORT!M:M,PRODUCTION_REPORT!L:L,A302)+SUMIFS(PRODUCTION_REPORT!O:O,PRODUCTION_REPORT!N:N,A302))</f>
        <v/>
      </c>
      <c r="E302" t="str">
        <f t="shared" si="8"/>
        <v/>
      </c>
      <c r="F302" t="str">
        <f>IF(A302="","",_xludf.XLOOKUP(A302,MASTER_RAW_MATERIALS!B:B,MASTER_RAW_MATERIALS!E:E,0))</f>
        <v/>
      </c>
      <c r="G302" t="str">
        <f t="shared" si="9"/>
        <v/>
      </c>
    </row>
    <row r="303" spans="1:7" x14ac:dyDescent="0.2">
      <c r="A303" t="str">
        <f>IF(MASTER_RAW_MATERIALS!B303="","",MASTER_RAW_MATERIALS!B303)</f>
        <v/>
      </c>
      <c r="B303" t="str">
        <f>IF(A303="","",MASTER_RAW_MATERIALS!D303)</f>
        <v/>
      </c>
      <c r="C303" t="str">
        <f>IF(A303="","",SUMIFS(PURCHASES!E:E,PURCHASES!D:D,A303))</f>
        <v/>
      </c>
      <c r="D303" t="str">
        <f>IF(A303="","",SUMIFS(PRODUCTION_REPORT!E:E,PRODUCTION_REPORT!D:D,A303)+SUMIFS(PRODUCTION_REPORT!G:G,PRODUCTION_REPORT!F:F,A303)+SUMIFS(PRODUCTION_REPORT!I:I,PRODUCTION_REPORT!H:H,A303)+SUMIFS(PRODUCTION_REPORT!K:K,PRODUCTION_REPORT!J:J,A303)+SUMIFS(PRODUCTION_REPORT!M:M,PRODUCTION_REPORT!L:L,A303)+SUMIFS(PRODUCTION_REPORT!O:O,PRODUCTION_REPORT!N:N,A303))</f>
        <v/>
      </c>
      <c r="E303" t="str">
        <f t="shared" si="8"/>
        <v/>
      </c>
      <c r="F303" t="str">
        <f>IF(A303="","",_xludf.XLOOKUP(A303,MASTER_RAW_MATERIALS!B:B,MASTER_RAW_MATERIALS!E:E,0))</f>
        <v/>
      </c>
      <c r="G303" t="str">
        <f t="shared" si="9"/>
        <v/>
      </c>
    </row>
    <row r="304" spans="1:7" x14ac:dyDescent="0.2">
      <c r="A304" t="str">
        <f>IF(MASTER_RAW_MATERIALS!B304="","",MASTER_RAW_MATERIALS!B304)</f>
        <v/>
      </c>
      <c r="B304" t="str">
        <f>IF(A304="","",MASTER_RAW_MATERIALS!D304)</f>
        <v/>
      </c>
      <c r="C304" t="str">
        <f>IF(A304="","",SUMIFS(PURCHASES!E:E,PURCHASES!D:D,A304))</f>
        <v/>
      </c>
      <c r="D304" t="str">
        <f>IF(A304="","",SUMIFS(PRODUCTION_REPORT!E:E,PRODUCTION_REPORT!D:D,A304)+SUMIFS(PRODUCTION_REPORT!G:G,PRODUCTION_REPORT!F:F,A304)+SUMIFS(PRODUCTION_REPORT!I:I,PRODUCTION_REPORT!H:H,A304)+SUMIFS(PRODUCTION_REPORT!K:K,PRODUCTION_REPORT!J:J,A304)+SUMIFS(PRODUCTION_REPORT!M:M,PRODUCTION_REPORT!L:L,A304)+SUMIFS(PRODUCTION_REPORT!O:O,PRODUCTION_REPORT!N:N,A304))</f>
        <v/>
      </c>
      <c r="E304" t="str">
        <f t="shared" si="8"/>
        <v/>
      </c>
      <c r="F304" t="str">
        <f>IF(A304="","",_xludf.XLOOKUP(A304,MASTER_RAW_MATERIALS!B:B,MASTER_RAW_MATERIALS!E:E,0))</f>
        <v/>
      </c>
      <c r="G304" t="str">
        <f t="shared" si="9"/>
        <v/>
      </c>
    </row>
    <row r="305" spans="1:7" x14ac:dyDescent="0.2">
      <c r="A305" t="str">
        <f>IF(MASTER_RAW_MATERIALS!B305="","",MASTER_RAW_MATERIALS!B305)</f>
        <v/>
      </c>
      <c r="B305" t="str">
        <f>IF(A305="","",MASTER_RAW_MATERIALS!D305)</f>
        <v/>
      </c>
      <c r="C305" t="str">
        <f>IF(A305="","",SUMIFS(PURCHASES!E:E,PURCHASES!D:D,A305))</f>
        <v/>
      </c>
      <c r="D305" t="str">
        <f>IF(A305="","",SUMIFS(PRODUCTION_REPORT!E:E,PRODUCTION_REPORT!D:D,A305)+SUMIFS(PRODUCTION_REPORT!G:G,PRODUCTION_REPORT!F:F,A305)+SUMIFS(PRODUCTION_REPORT!I:I,PRODUCTION_REPORT!H:H,A305)+SUMIFS(PRODUCTION_REPORT!K:K,PRODUCTION_REPORT!J:J,A305)+SUMIFS(PRODUCTION_REPORT!M:M,PRODUCTION_REPORT!L:L,A305)+SUMIFS(PRODUCTION_REPORT!O:O,PRODUCTION_REPORT!N:N,A305))</f>
        <v/>
      </c>
      <c r="E305" t="str">
        <f t="shared" si="8"/>
        <v/>
      </c>
      <c r="F305" t="str">
        <f>IF(A305="","",_xludf.XLOOKUP(A305,MASTER_RAW_MATERIALS!B:B,MASTER_RAW_MATERIALS!E:E,0))</f>
        <v/>
      </c>
      <c r="G305" t="str">
        <f t="shared" si="9"/>
        <v/>
      </c>
    </row>
    <row r="306" spans="1:7" x14ac:dyDescent="0.2">
      <c r="A306" t="str">
        <f>IF(MASTER_RAW_MATERIALS!B306="","",MASTER_RAW_MATERIALS!B306)</f>
        <v/>
      </c>
      <c r="B306" t="str">
        <f>IF(A306="","",MASTER_RAW_MATERIALS!D306)</f>
        <v/>
      </c>
      <c r="C306" t="str">
        <f>IF(A306="","",SUMIFS(PURCHASES!E:E,PURCHASES!D:D,A306))</f>
        <v/>
      </c>
      <c r="D306" t="str">
        <f>IF(A306="","",SUMIFS(PRODUCTION_REPORT!E:E,PRODUCTION_REPORT!D:D,A306)+SUMIFS(PRODUCTION_REPORT!G:G,PRODUCTION_REPORT!F:F,A306)+SUMIFS(PRODUCTION_REPORT!I:I,PRODUCTION_REPORT!H:H,A306)+SUMIFS(PRODUCTION_REPORT!K:K,PRODUCTION_REPORT!J:J,A306)+SUMIFS(PRODUCTION_REPORT!M:M,PRODUCTION_REPORT!L:L,A306)+SUMIFS(PRODUCTION_REPORT!O:O,PRODUCTION_REPORT!N:N,A306))</f>
        <v/>
      </c>
      <c r="E306" t="str">
        <f t="shared" si="8"/>
        <v/>
      </c>
      <c r="F306" t="str">
        <f>IF(A306="","",_xludf.XLOOKUP(A306,MASTER_RAW_MATERIALS!B:B,MASTER_RAW_MATERIALS!E:E,0))</f>
        <v/>
      </c>
      <c r="G306" t="str">
        <f t="shared" si="9"/>
        <v/>
      </c>
    </row>
    <row r="307" spans="1:7" x14ac:dyDescent="0.2">
      <c r="A307" t="str">
        <f>IF(MASTER_RAW_MATERIALS!B307="","",MASTER_RAW_MATERIALS!B307)</f>
        <v/>
      </c>
      <c r="B307" t="str">
        <f>IF(A307="","",MASTER_RAW_MATERIALS!D307)</f>
        <v/>
      </c>
      <c r="C307" t="str">
        <f>IF(A307="","",SUMIFS(PURCHASES!E:E,PURCHASES!D:D,A307))</f>
        <v/>
      </c>
      <c r="D307" t="str">
        <f>IF(A307="","",SUMIFS(PRODUCTION_REPORT!E:E,PRODUCTION_REPORT!D:D,A307)+SUMIFS(PRODUCTION_REPORT!G:G,PRODUCTION_REPORT!F:F,A307)+SUMIFS(PRODUCTION_REPORT!I:I,PRODUCTION_REPORT!H:H,A307)+SUMIFS(PRODUCTION_REPORT!K:K,PRODUCTION_REPORT!J:J,A307)+SUMIFS(PRODUCTION_REPORT!M:M,PRODUCTION_REPORT!L:L,A307)+SUMIFS(PRODUCTION_REPORT!O:O,PRODUCTION_REPORT!N:N,A307))</f>
        <v/>
      </c>
      <c r="E307" t="str">
        <f t="shared" si="8"/>
        <v/>
      </c>
      <c r="F307" t="str">
        <f>IF(A307="","",_xludf.XLOOKUP(A307,MASTER_RAW_MATERIALS!B:B,MASTER_RAW_MATERIALS!E:E,0))</f>
        <v/>
      </c>
      <c r="G307" t="str">
        <f t="shared" si="9"/>
        <v/>
      </c>
    </row>
    <row r="308" spans="1:7" x14ac:dyDescent="0.2">
      <c r="A308" t="str">
        <f>IF(MASTER_RAW_MATERIALS!B308="","",MASTER_RAW_MATERIALS!B308)</f>
        <v/>
      </c>
      <c r="B308" t="str">
        <f>IF(A308="","",MASTER_RAW_MATERIALS!D308)</f>
        <v/>
      </c>
      <c r="C308" t="str">
        <f>IF(A308="","",SUMIFS(PURCHASES!E:E,PURCHASES!D:D,A308))</f>
        <v/>
      </c>
      <c r="D308" t="str">
        <f>IF(A308="","",SUMIFS(PRODUCTION_REPORT!E:E,PRODUCTION_REPORT!D:D,A308)+SUMIFS(PRODUCTION_REPORT!G:G,PRODUCTION_REPORT!F:F,A308)+SUMIFS(PRODUCTION_REPORT!I:I,PRODUCTION_REPORT!H:H,A308)+SUMIFS(PRODUCTION_REPORT!K:K,PRODUCTION_REPORT!J:J,A308)+SUMIFS(PRODUCTION_REPORT!M:M,PRODUCTION_REPORT!L:L,A308)+SUMIFS(PRODUCTION_REPORT!O:O,PRODUCTION_REPORT!N:N,A308))</f>
        <v/>
      </c>
      <c r="E308" t="str">
        <f t="shared" si="8"/>
        <v/>
      </c>
      <c r="F308" t="str">
        <f>IF(A308="","",_xludf.XLOOKUP(A308,MASTER_RAW_MATERIALS!B:B,MASTER_RAW_MATERIALS!E:E,0))</f>
        <v/>
      </c>
      <c r="G308" t="str">
        <f t="shared" si="9"/>
        <v/>
      </c>
    </row>
    <row r="309" spans="1:7" x14ac:dyDescent="0.2">
      <c r="A309" t="str">
        <f>IF(MASTER_RAW_MATERIALS!B309="","",MASTER_RAW_MATERIALS!B309)</f>
        <v/>
      </c>
      <c r="B309" t="str">
        <f>IF(A309="","",MASTER_RAW_MATERIALS!D309)</f>
        <v/>
      </c>
      <c r="C309" t="str">
        <f>IF(A309="","",SUMIFS(PURCHASES!E:E,PURCHASES!D:D,A309))</f>
        <v/>
      </c>
      <c r="D309" t="str">
        <f>IF(A309="","",SUMIFS(PRODUCTION_REPORT!E:E,PRODUCTION_REPORT!D:D,A309)+SUMIFS(PRODUCTION_REPORT!G:G,PRODUCTION_REPORT!F:F,A309)+SUMIFS(PRODUCTION_REPORT!I:I,PRODUCTION_REPORT!H:H,A309)+SUMIFS(PRODUCTION_REPORT!K:K,PRODUCTION_REPORT!J:J,A309)+SUMIFS(PRODUCTION_REPORT!M:M,PRODUCTION_REPORT!L:L,A309)+SUMIFS(PRODUCTION_REPORT!O:O,PRODUCTION_REPORT!N:N,A309))</f>
        <v/>
      </c>
      <c r="E309" t="str">
        <f t="shared" si="8"/>
        <v/>
      </c>
      <c r="F309" t="str">
        <f>IF(A309="","",_xludf.XLOOKUP(A309,MASTER_RAW_MATERIALS!B:B,MASTER_RAW_MATERIALS!E:E,0))</f>
        <v/>
      </c>
      <c r="G309" t="str">
        <f t="shared" si="9"/>
        <v/>
      </c>
    </row>
    <row r="310" spans="1:7" x14ac:dyDescent="0.2">
      <c r="A310" t="str">
        <f>IF(MASTER_RAW_MATERIALS!B310="","",MASTER_RAW_MATERIALS!B310)</f>
        <v/>
      </c>
      <c r="B310" t="str">
        <f>IF(A310="","",MASTER_RAW_MATERIALS!D310)</f>
        <v/>
      </c>
      <c r="C310" t="str">
        <f>IF(A310="","",SUMIFS(PURCHASES!E:E,PURCHASES!D:D,A310))</f>
        <v/>
      </c>
      <c r="D310" t="str">
        <f>IF(A310="","",SUMIFS(PRODUCTION_REPORT!E:E,PRODUCTION_REPORT!D:D,A310)+SUMIFS(PRODUCTION_REPORT!G:G,PRODUCTION_REPORT!F:F,A310)+SUMIFS(PRODUCTION_REPORT!I:I,PRODUCTION_REPORT!H:H,A310)+SUMIFS(PRODUCTION_REPORT!K:K,PRODUCTION_REPORT!J:J,A310)+SUMIFS(PRODUCTION_REPORT!M:M,PRODUCTION_REPORT!L:L,A310)+SUMIFS(PRODUCTION_REPORT!O:O,PRODUCTION_REPORT!N:N,A310))</f>
        <v/>
      </c>
      <c r="E310" t="str">
        <f t="shared" si="8"/>
        <v/>
      </c>
      <c r="F310" t="str">
        <f>IF(A310="","",_xludf.XLOOKUP(A310,MASTER_RAW_MATERIALS!B:B,MASTER_RAW_MATERIALS!E:E,0))</f>
        <v/>
      </c>
      <c r="G310" t="str">
        <f t="shared" si="9"/>
        <v/>
      </c>
    </row>
    <row r="311" spans="1:7" x14ac:dyDescent="0.2">
      <c r="A311" t="str">
        <f>IF(MASTER_RAW_MATERIALS!B311="","",MASTER_RAW_MATERIALS!B311)</f>
        <v/>
      </c>
      <c r="B311" t="str">
        <f>IF(A311="","",MASTER_RAW_MATERIALS!D311)</f>
        <v/>
      </c>
      <c r="C311" t="str">
        <f>IF(A311="","",SUMIFS(PURCHASES!E:E,PURCHASES!D:D,A311))</f>
        <v/>
      </c>
      <c r="D311" t="str">
        <f>IF(A311="","",SUMIFS(PRODUCTION_REPORT!E:E,PRODUCTION_REPORT!D:D,A311)+SUMIFS(PRODUCTION_REPORT!G:G,PRODUCTION_REPORT!F:F,A311)+SUMIFS(PRODUCTION_REPORT!I:I,PRODUCTION_REPORT!H:H,A311)+SUMIFS(PRODUCTION_REPORT!K:K,PRODUCTION_REPORT!J:J,A311)+SUMIFS(PRODUCTION_REPORT!M:M,PRODUCTION_REPORT!L:L,A311)+SUMIFS(PRODUCTION_REPORT!O:O,PRODUCTION_REPORT!N:N,A311))</f>
        <v/>
      </c>
      <c r="E311" t="str">
        <f t="shared" si="8"/>
        <v/>
      </c>
      <c r="F311" t="str">
        <f>IF(A311="","",_xludf.XLOOKUP(A311,MASTER_RAW_MATERIALS!B:B,MASTER_RAW_MATERIALS!E:E,0))</f>
        <v/>
      </c>
      <c r="G311" t="str">
        <f t="shared" si="9"/>
        <v/>
      </c>
    </row>
    <row r="312" spans="1:7" x14ac:dyDescent="0.2">
      <c r="A312" t="str">
        <f>IF(MASTER_RAW_MATERIALS!B312="","",MASTER_RAW_MATERIALS!B312)</f>
        <v/>
      </c>
      <c r="B312" t="str">
        <f>IF(A312="","",MASTER_RAW_MATERIALS!D312)</f>
        <v/>
      </c>
      <c r="C312" t="str">
        <f>IF(A312="","",SUMIFS(PURCHASES!E:E,PURCHASES!D:D,A312))</f>
        <v/>
      </c>
      <c r="D312" t="str">
        <f>IF(A312="","",SUMIFS(PRODUCTION_REPORT!E:E,PRODUCTION_REPORT!D:D,A312)+SUMIFS(PRODUCTION_REPORT!G:G,PRODUCTION_REPORT!F:F,A312)+SUMIFS(PRODUCTION_REPORT!I:I,PRODUCTION_REPORT!H:H,A312)+SUMIFS(PRODUCTION_REPORT!K:K,PRODUCTION_REPORT!J:J,A312)+SUMIFS(PRODUCTION_REPORT!M:M,PRODUCTION_REPORT!L:L,A312)+SUMIFS(PRODUCTION_REPORT!O:O,PRODUCTION_REPORT!N:N,A312))</f>
        <v/>
      </c>
      <c r="E312" t="str">
        <f t="shared" si="8"/>
        <v/>
      </c>
      <c r="F312" t="str">
        <f>IF(A312="","",_xludf.XLOOKUP(A312,MASTER_RAW_MATERIALS!B:B,MASTER_RAW_MATERIALS!E:E,0))</f>
        <v/>
      </c>
      <c r="G312" t="str">
        <f t="shared" si="9"/>
        <v/>
      </c>
    </row>
    <row r="313" spans="1:7" x14ac:dyDescent="0.2">
      <c r="A313" t="str">
        <f>IF(MASTER_RAW_MATERIALS!B313="","",MASTER_RAW_MATERIALS!B313)</f>
        <v/>
      </c>
      <c r="B313" t="str">
        <f>IF(A313="","",MASTER_RAW_MATERIALS!D313)</f>
        <v/>
      </c>
      <c r="C313" t="str">
        <f>IF(A313="","",SUMIFS(PURCHASES!E:E,PURCHASES!D:D,A313))</f>
        <v/>
      </c>
      <c r="D313" t="str">
        <f>IF(A313="","",SUMIFS(PRODUCTION_REPORT!E:E,PRODUCTION_REPORT!D:D,A313)+SUMIFS(PRODUCTION_REPORT!G:G,PRODUCTION_REPORT!F:F,A313)+SUMIFS(PRODUCTION_REPORT!I:I,PRODUCTION_REPORT!H:H,A313)+SUMIFS(PRODUCTION_REPORT!K:K,PRODUCTION_REPORT!J:J,A313)+SUMIFS(PRODUCTION_REPORT!M:M,PRODUCTION_REPORT!L:L,A313)+SUMIFS(PRODUCTION_REPORT!O:O,PRODUCTION_REPORT!N:N,A313))</f>
        <v/>
      </c>
      <c r="E313" t="str">
        <f t="shared" si="8"/>
        <v/>
      </c>
      <c r="F313" t="str">
        <f>IF(A313="","",_xludf.XLOOKUP(A313,MASTER_RAW_MATERIALS!B:B,MASTER_RAW_MATERIALS!E:E,0))</f>
        <v/>
      </c>
      <c r="G313" t="str">
        <f t="shared" si="9"/>
        <v/>
      </c>
    </row>
    <row r="314" spans="1:7" x14ac:dyDescent="0.2">
      <c r="A314" t="str">
        <f>IF(MASTER_RAW_MATERIALS!B314="","",MASTER_RAW_MATERIALS!B314)</f>
        <v/>
      </c>
      <c r="B314" t="str">
        <f>IF(A314="","",MASTER_RAW_MATERIALS!D314)</f>
        <v/>
      </c>
      <c r="C314" t="str">
        <f>IF(A314="","",SUMIFS(PURCHASES!E:E,PURCHASES!D:D,A314))</f>
        <v/>
      </c>
      <c r="D314" t="str">
        <f>IF(A314="","",SUMIFS(PRODUCTION_REPORT!E:E,PRODUCTION_REPORT!D:D,A314)+SUMIFS(PRODUCTION_REPORT!G:G,PRODUCTION_REPORT!F:F,A314)+SUMIFS(PRODUCTION_REPORT!I:I,PRODUCTION_REPORT!H:H,A314)+SUMIFS(PRODUCTION_REPORT!K:K,PRODUCTION_REPORT!J:J,A314)+SUMIFS(PRODUCTION_REPORT!M:M,PRODUCTION_REPORT!L:L,A314)+SUMIFS(PRODUCTION_REPORT!O:O,PRODUCTION_REPORT!N:N,A314))</f>
        <v/>
      </c>
      <c r="E314" t="str">
        <f t="shared" si="8"/>
        <v/>
      </c>
      <c r="F314" t="str">
        <f>IF(A314="","",_xludf.XLOOKUP(A314,MASTER_RAW_MATERIALS!B:B,MASTER_RAW_MATERIALS!E:E,0))</f>
        <v/>
      </c>
      <c r="G314" t="str">
        <f t="shared" si="9"/>
        <v/>
      </c>
    </row>
    <row r="315" spans="1:7" x14ac:dyDescent="0.2">
      <c r="A315" t="str">
        <f>IF(MASTER_RAW_MATERIALS!B315="","",MASTER_RAW_MATERIALS!B315)</f>
        <v/>
      </c>
      <c r="B315" t="str">
        <f>IF(A315="","",MASTER_RAW_MATERIALS!D315)</f>
        <v/>
      </c>
      <c r="C315" t="str">
        <f>IF(A315="","",SUMIFS(PURCHASES!E:E,PURCHASES!D:D,A315))</f>
        <v/>
      </c>
      <c r="D315" t="str">
        <f>IF(A315="","",SUMIFS(PRODUCTION_REPORT!E:E,PRODUCTION_REPORT!D:D,A315)+SUMIFS(PRODUCTION_REPORT!G:G,PRODUCTION_REPORT!F:F,A315)+SUMIFS(PRODUCTION_REPORT!I:I,PRODUCTION_REPORT!H:H,A315)+SUMIFS(PRODUCTION_REPORT!K:K,PRODUCTION_REPORT!J:J,A315)+SUMIFS(PRODUCTION_REPORT!M:M,PRODUCTION_REPORT!L:L,A315)+SUMIFS(PRODUCTION_REPORT!O:O,PRODUCTION_REPORT!N:N,A315))</f>
        <v/>
      </c>
      <c r="E315" t="str">
        <f t="shared" si="8"/>
        <v/>
      </c>
      <c r="F315" t="str">
        <f>IF(A315="","",_xludf.XLOOKUP(A315,MASTER_RAW_MATERIALS!B:B,MASTER_RAW_MATERIALS!E:E,0))</f>
        <v/>
      </c>
      <c r="G315" t="str">
        <f t="shared" si="9"/>
        <v/>
      </c>
    </row>
    <row r="316" spans="1:7" x14ac:dyDescent="0.2">
      <c r="A316" t="str">
        <f>IF(MASTER_RAW_MATERIALS!B316="","",MASTER_RAW_MATERIALS!B316)</f>
        <v/>
      </c>
      <c r="B316" t="str">
        <f>IF(A316="","",MASTER_RAW_MATERIALS!D316)</f>
        <v/>
      </c>
      <c r="C316" t="str">
        <f>IF(A316="","",SUMIFS(PURCHASES!E:E,PURCHASES!D:D,A316))</f>
        <v/>
      </c>
      <c r="D316" t="str">
        <f>IF(A316="","",SUMIFS(PRODUCTION_REPORT!E:E,PRODUCTION_REPORT!D:D,A316)+SUMIFS(PRODUCTION_REPORT!G:G,PRODUCTION_REPORT!F:F,A316)+SUMIFS(PRODUCTION_REPORT!I:I,PRODUCTION_REPORT!H:H,A316)+SUMIFS(PRODUCTION_REPORT!K:K,PRODUCTION_REPORT!J:J,A316)+SUMIFS(PRODUCTION_REPORT!M:M,PRODUCTION_REPORT!L:L,A316)+SUMIFS(PRODUCTION_REPORT!O:O,PRODUCTION_REPORT!N:N,A316))</f>
        <v/>
      </c>
      <c r="E316" t="str">
        <f t="shared" si="8"/>
        <v/>
      </c>
      <c r="F316" t="str">
        <f>IF(A316="","",_xludf.XLOOKUP(A316,MASTER_RAW_MATERIALS!B:B,MASTER_RAW_MATERIALS!E:E,0))</f>
        <v/>
      </c>
      <c r="G316" t="str">
        <f t="shared" si="9"/>
        <v/>
      </c>
    </row>
    <row r="317" spans="1:7" x14ac:dyDescent="0.2">
      <c r="A317" t="str">
        <f>IF(MASTER_RAW_MATERIALS!B317="","",MASTER_RAW_MATERIALS!B317)</f>
        <v/>
      </c>
      <c r="B317" t="str">
        <f>IF(A317="","",MASTER_RAW_MATERIALS!D317)</f>
        <v/>
      </c>
      <c r="C317" t="str">
        <f>IF(A317="","",SUMIFS(PURCHASES!E:E,PURCHASES!D:D,A317))</f>
        <v/>
      </c>
      <c r="D317" t="str">
        <f>IF(A317="","",SUMIFS(PRODUCTION_REPORT!E:E,PRODUCTION_REPORT!D:D,A317)+SUMIFS(PRODUCTION_REPORT!G:G,PRODUCTION_REPORT!F:F,A317)+SUMIFS(PRODUCTION_REPORT!I:I,PRODUCTION_REPORT!H:H,A317)+SUMIFS(PRODUCTION_REPORT!K:K,PRODUCTION_REPORT!J:J,A317)+SUMIFS(PRODUCTION_REPORT!M:M,PRODUCTION_REPORT!L:L,A317)+SUMIFS(PRODUCTION_REPORT!O:O,PRODUCTION_REPORT!N:N,A317))</f>
        <v/>
      </c>
      <c r="E317" t="str">
        <f t="shared" si="8"/>
        <v/>
      </c>
      <c r="F317" t="str">
        <f>IF(A317="","",_xludf.XLOOKUP(A317,MASTER_RAW_MATERIALS!B:B,MASTER_RAW_MATERIALS!E:E,0))</f>
        <v/>
      </c>
      <c r="G317" t="str">
        <f t="shared" si="9"/>
        <v/>
      </c>
    </row>
    <row r="318" spans="1:7" x14ac:dyDescent="0.2">
      <c r="A318" t="str">
        <f>IF(MASTER_RAW_MATERIALS!B318="","",MASTER_RAW_MATERIALS!B318)</f>
        <v/>
      </c>
      <c r="B318" t="str">
        <f>IF(A318="","",MASTER_RAW_MATERIALS!D318)</f>
        <v/>
      </c>
      <c r="C318" t="str">
        <f>IF(A318="","",SUMIFS(PURCHASES!E:E,PURCHASES!D:D,A318))</f>
        <v/>
      </c>
      <c r="D318" t="str">
        <f>IF(A318="","",SUMIFS(PRODUCTION_REPORT!E:E,PRODUCTION_REPORT!D:D,A318)+SUMIFS(PRODUCTION_REPORT!G:G,PRODUCTION_REPORT!F:F,A318)+SUMIFS(PRODUCTION_REPORT!I:I,PRODUCTION_REPORT!H:H,A318)+SUMIFS(PRODUCTION_REPORT!K:K,PRODUCTION_REPORT!J:J,A318)+SUMIFS(PRODUCTION_REPORT!M:M,PRODUCTION_REPORT!L:L,A318)+SUMIFS(PRODUCTION_REPORT!O:O,PRODUCTION_REPORT!N:N,A318))</f>
        <v/>
      </c>
      <c r="E318" t="str">
        <f t="shared" si="8"/>
        <v/>
      </c>
      <c r="F318" t="str">
        <f>IF(A318="","",_xludf.XLOOKUP(A318,MASTER_RAW_MATERIALS!B:B,MASTER_RAW_MATERIALS!E:E,0))</f>
        <v/>
      </c>
      <c r="G318" t="str">
        <f t="shared" si="9"/>
        <v/>
      </c>
    </row>
    <row r="319" spans="1:7" x14ac:dyDescent="0.2">
      <c r="A319" t="str">
        <f>IF(MASTER_RAW_MATERIALS!B319="","",MASTER_RAW_MATERIALS!B319)</f>
        <v/>
      </c>
      <c r="B319" t="str">
        <f>IF(A319="","",MASTER_RAW_MATERIALS!D319)</f>
        <v/>
      </c>
      <c r="C319" t="str">
        <f>IF(A319="","",SUMIFS(PURCHASES!E:E,PURCHASES!D:D,A319))</f>
        <v/>
      </c>
      <c r="D319" t="str">
        <f>IF(A319="","",SUMIFS(PRODUCTION_REPORT!E:E,PRODUCTION_REPORT!D:D,A319)+SUMIFS(PRODUCTION_REPORT!G:G,PRODUCTION_REPORT!F:F,A319)+SUMIFS(PRODUCTION_REPORT!I:I,PRODUCTION_REPORT!H:H,A319)+SUMIFS(PRODUCTION_REPORT!K:K,PRODUCTION_REPORT!J:J,A319)+SUMIFS(PRODUCTION_REPORT!M:M,PRODUCTION_REPORT!L:L,A319)+SUMIFS(PRODUCTION_REPORT!O:O,PRODUCTION_REPORT!N:N,A319))</f>
        <v/>
      </c>
      <c r="E319" t="str">
        <f t="shared" si="8"/>
        <v/>
      </c>
      <c r="F319" t="str">
        <f>IF(A319="","",_xludf.XLOOKUP(A319,MASTER_RAW_MATERIALS!B:B,MASTER_RAW_MATERIALS!E:E,0))</f>
        <v/>
      </c>
      <c r="G319" t="str">
        <f t="shared" si="9"/>
        <v/>
      </c>
    </row>
    <row r="320" spans="1:7" x14ac:dyDescent="0.2">
      <c r="A320" t="str">
        <f>IF(MASTER_RAW_MATERIALS!B320="","",MASTER_RAW_MATERIALS!B320)</f>
        <v/>
      </c>
      <c r="B320" t="str">
        <f>IF(A320="","",MASTER_RAW_MATERIALS!D320)</f>
        <v/>
      </c>
      <c r="C320" t="str">
        <f>IF(A320="","",SUMIFS(PURCHASES!E:E,PURCHASES!D:D,A320))</f>
        <v/>
      </c>
      <c r="D320" t="str">
        <f>IF(A320="","",SUMIFS(PRODUCTION_REPORT!E:E,PRODUCTION_REPORT!D:D,A320)+SUMIFS(PRODUCTION_REPORT!G:G,PRODUCTION_REPORT!F:F,A320)+SUMIFS(PRODUCTION_REPORT!I:I,PRODUCTION_REPORT!H:H,A320)+SUMIFS(PRODUCTION_REPORT!K:K,PRODUCTION_REPORT!J:J,A320)+SUMIFS(PRODUCTION_REPORT!M:M,PRODUCTION_REPORT!L:L,A320)+SUMIFS(PRODUCTION_REPORT!O:O,PRODUCTION_REPORT!N:N,A320))</f>
        <v/>
      </c>
      <c r="E320" t="str">
        <f t="shared" si="8"/>
        <v/>
      </c>
      <c r="F320" t="str">
        <f>IF(A320="","",_xludf.XLOOKUP(A320,MASTER_RAW_MATERIALS!B:B,MASTER_RAW_MATERIALS!E:E,0))</f>
        <v/>
      </c>
      <c r="G320" t="str">
        <f t="shared" si="9"/>
        <v/>
      </c>
    </row>
    <row r="321" spans="1:7" x14ac:dyDescent="0.2">
      <c r="A321" t="str">
        <f>IF(MASTER_RAW_MATERIALS!B321="","",MASTER_RAW_MATERIALS!B321)</f>
        <v/>
      </c>
      <c r="B321" t="str">
        <f>IF(A321="","",MASTER_RAW_MATERIALS!D321)</f>
        <v/>
      </c>
      <c r="C321" t="str">
        <f>IF(A321="","",SUMIFS(PURCHASES!E:E,PURCHASES!D:D,A321))</f>
        <v/>
      </c>
      <c r="D321" t="str">
        <f>IF(A321="","",SUMIFS(PRODUCTION_REPORT!E:E,PRODUCTION_REPORT!D:D,A321)+SUMIFS(PRODUCTION_REPORT!G:G,PRODUCTION_REPORT!F:F,A321)+SUMIFS(PRODUCTION_REPORT!I:I,PRODUCTION_REPORT!H:H,A321)+SUMIFS(PRODUCTION_REPORT!K:K,PRODUCTION_REPORT!J:J,A321)+SUMIFS(PRODUCTION_REPORT!M:M,PRODUCTION_REPORT!L:L,A321)+SUMIFS(PRODUCTION_REPORT!O:O,PRODUCTION_REPORT!N:N,A321))</f>
        <v/>
      </c>
      <c r="E321" t="str">
        <f t="shared" si="8"/>
        <v/>
      </c>
      <c r="F321" t="str">
        <f>IF(A321="","",_xludf.XLOOKUP(A321,MASTER_RAW_MATERIALS!B:B,MASTER_RAW_MATERIALS!E:E,0))</f>
        <v/>
      </c>
      <c r="G321" t="str">
        <f t="shared" si="9"/>
        <v/>
      </c>
    </row>
    <row r="322" spans="1:7" x14ac:dyDescent="0.2">
      <c r="A322" t="str">
        <f>IF(MASTER_RAW_MATERIALS!B322="","",MASTER_RAW_MATERIALS!B322)</f>
        <v/>
      </c>
      <c r="B322" t="str">
        <f>IF(A322="","",MASTER_RAW_MATERIALS!D322)</f>
        <v/>
      </c>
      <c r="C322" t="str">
        <f>IF(A322="","",SUMIFS(PURCHASES!E:E,PURCHASES!D:D,A322))</f>
        <v/>
      </c>
      <c r="D322" t="str">
        <f>IF(A322="","",SUMIFS(PRODUCTION_REPORT!E:E,PRODUCTION_REPORT!D:D,A322)+SUMIFS(PRODUCTION_REPORT!G:G,PRODUCTION_REPORT!F:F,A322)+SUMIFS(PRODUCTION_REPORT!I:I,PRODUCTION_REPORT!H:H,A322)+SUMIFS(PRODUCTION_REPORT!K:K,PRODUCTION_REPORT!J:J,A322)+SUMIFS(PRODUCTION_REPORT!M:M,PRODUCTION_REPORT!L:L,A322)+SUMIFS(PRODUCTION_REPORT!O:O,PRODUCTION_REPORT!N:N,A322))</f>
        <v/>
      </c>
      <c r="E322" t="str">
        <f t="shared" ref="E322:E385" si="10">IF(A322="","",B322+C322-D322)</f>
        <v/>
      </c>
      <c r="F322" t="str">
        <f>IF(A322="","",_xludf.XLOOKUP(A322,MASTER_RAW_MATERIALS!B:B,MASTER_RAW_MATERIALS!E:E,0))</f>
        <v/>
      </c>
      <c r="G322" t="str">
        <f t="shared" ref="G322:G385" si="11">IF(A322="","",E322*F322)</f>
        <v/>
      </c>
    </row>
    <row r="323" spans="1:7" x14ac:dyDescent="0.2">
      <c r="A323" t="str">
        <f>IF(MASTER_RAW_MATERIALS!B323="","",MASTER_RAW_MATERIALS!B323)</f>
        <v/>
      </c>
      <c r="B323" t="str">
        <f>IF(A323="","",MASTER_RAW_MATERIALS!D323)</f>
        <v/>
      </c>
      <c r="C323" t="str">
        <f>IF(A323="","",SUMIFS(PURCHASES!E:E,PURCHASES!D:D,A323))</f>
        <v/>
      </c>
      <c r="D323" t="str">
        <f>IF(A323="","",SUMIFS(PRODUCTION_REPORT!E:E,PRODUCTION_REPORT!D:D,A323)+SUMIFS(PRODUCTION_REPORT!G:G,PRODUCTION_REPORT!F:F,A323)+SUMIFS(PRODUCTION_REPORT!I:I,PRODUCTION_REPORT!H:H,A323)+SUMIFS(PRODUCTION_REPORT!K:K,PRODUCTION_REPORT!J:J,A323)+SUMIFS(PRODUCTION_REPORT!M:M,PRODUCTION_REPORT!L:L,A323)+SUMIFS(PRODUCTION_REPORT!O:O,PRODUCTION_REPORT!N:N,A323))</f>
        <v/>
      </c>
      <c r="E323" t="str">
        <f t="shared" si="10"/>
        <v/>
      </c>
      <c r="F323" t="str">
        <f>IF(A323="","",_xludf.XLOOKUP(A323,MASTER_RAW_MATERIALS!B:B,MASTER_RAW_MATERIALS!E:E,0))</f>
        <v/>
      </c>
      <c r="G323" t="str">
        <f t="shared" si="11"/>
        <v/>
      </c>
    </row>
    <row r="324" spans="1:7" x14ac:dyDescent="0.2">
      <c r="A324" t="str">
        <f>IF(MASTER_RAW_MATERIALS!B324="","",MASTER_RAW_MATERIALS!B324)</f>
        <v/>
      </c>
      <c r="B324" t="str">
        <f>IF(A324="","",MASTER_RAW_MATERIALS!D324)</f>
        <v/>
      </c>
      <c r="C324" t="str">
        <f>IF(A324="","",SUMIFS(PURCHASES!E:E,PURCHASES!D:D,A324))</f>
        <v/>
      </c>
      <c r="D324" t="str">
        <f>IF(A324="","",SUMIFS(PRODUCTION_REPORT!E:E,PRODUCTION_REPORT!D:D,A324)+SUMIFS(PRODUCTION_REPORT!G:G,PRODUCTION_REPORT!F:F,A324)+SUMIFS(PRODUCTION_REPORT!I:I,PRODUCTION_REPORT!H:H,A324)+SUMIFS(PRODUCTION_REPORT!K:K,PRODUCTION_REPORT!J:J,A324)+SUMIFS(PRODUCTION_REPORT!M:M,PRODUCTION_REPORT!L:L,A324)+SUMIFS(PRODUCTION_REPORT!O:O,PRODUCTION_REPORT!N:N,A324))</f>
        <v/>
      </c>
      <c r="E324" t="str">
        <f t="shared" si="10"/>
        <v/>
      </c>
      <c r="F324" t="str">
        <f>IF(A324="","",_xludf.XLOOKUP(A324,MASTER_RAW_MATERIALS!B:B,MASTER_RAW_MATERIALS!E:E,0))</f>
        <v/>
      </c>
      <c r="G324" t="str">
        <f t="shared" si="11"/>
        <v/>
      </c>
    </row>
    <row r="325" spans="1:7" x14ac:dyDescent="0.2">
      <c r="A325" t="str">
        <f>IF(MASTER_RAW_MATERIALS!B325="","",MASTER_RAW_MATERIALS!B325)</f>
        <v/>
      </c>
      <c r="B325" t="str">
        <f>IF(A325="","",MASTER_RAW_MATERIALS!D325)</f>
        <v/>
      </c>
      <c r="C325" t="str">
        <f>IF(A325="","",SUMIFS(PURCHASES!E:E,PURCHASES!D:D,A325))</f>
        <v/>
      </c>
      <c r="D325" t="str">
        <f>IF(A325="","",SUMIFS(PRODUCTION_REPORT!E:E,PRODUCTION_REPORT!D:D,A325)+SUMIFS(PRODUCTION_REPORT!G:G,PRODUCTION_REPORT!F:F,A325)+SUMIFS(PRODUCTION_REPORT!I:I,PRODUCTION_REPORT!H:H,A325)+SUMIFS(PRODUCTION_REPORT!K:K,PRODUCTION_REPORT!J:J,A325)+SUMIFS(PRODUCTION_REPORT!M:M,PRODUCTION_REPORT!L:L,A325)+SUMIFS(PRODUCTION_REPORT!O:O,PRODUCTION_REPORT!N:N,A325))</f>
        <v/>
      </c>
      <c r="E325" t="str">
        <f t="shared" si="10"/>
        <v/>
      </c>
      <c r="F325" t="str">
        <f>IF(A325="","",_xludf.XLOOKUP(A325,MASTER_RAW_MATERIALS!B:B,MASTER_RAW_MATERIALS!E:E,0))</f>
        <v/>
      </c>
      <c r="G325" t="str">
        <f t="shared" si="11"/>
        <v/>
      </c>
    </row>
    <row r="326" spans="1:7" x14ac:dyDescent="0.2">
      <c r="A326" t="str">
        <f>IF(MASTER_RAW_MATERIALS!B326="","",MASTER_RAW_MATERIALS!B326)</f>
        <v/>
      </c>
      <c r="B326" t="str">
        <f>IF(A326="","",MASTER_RAW_MATERIALS!D326)</f>
        <v/>
      </c>
      <c r="C326" t="str">
        <f>IF(A326="","",SUMIFS(PURCHASES!E:E,PURCHASES!D:D,A326))</f>
        <v/>
      </c>
      <c r="D326" t="str">
        <f>IF(A326="","",SUMIFS(PRODUCTION_REPORT!E:E,PRODUCTION_REPORT!D:D,A326)+SUMIFS(PRODUCTION_REPORT!G:G,PRODUCTION_REPORT!F:F,A326)+SUMIFS(PRODUCTION_REPORT!I:I,PRODUCTION_REPORT!H:H,A326)+SUMIFS(PRODUCTION_REPORT!K:K,PRODUCTION_REPORT!J:J,A326)+SUMIFS(PRODUCTION_REPORT!M:M,PRODUCTION_REPORT!L:L,A326)+SUMIFS(PRODUCTION_REPORT!O:O,PRODUCTION_REPORT!N:N,A326))</f>
        <v/>
      </c>
      <c r="E326" t="str">
        <f t="shared" si="10"/>
        <v/>
      </c>
      <c r="F326" t="str">
        <f>IF(A326="","",_xludf.XLOOKUP(A326,MASTER_RAW_MATERIALS!B:B,MASTER_RAW_MATERIALS!E:E,0))</f>
        <v/>
      </c>
      <c r="G326" t="str">
        <f t="shared" si="11"/>
        <v/>
      </c>
    </row>
    <row r="327" spans="1:7" x14ac:dyDescent="0.2">
      <c r="A327" t="str">
        <f>IF(MASTER_RAW_MATERIALS!B327="","",MASTER_RAW_MATERIALS!B327)</f>
        <v/>
      </c>
      <c r="B327" t="str">
        <f>IF(A327="","",MASTER_RAW_MATERIALS!D327)</f>
        <v/>
      </c>
      <c r="C327" t="str">
        <f>IF(A327="","",SUMIFS(PURCHASES!E:E,PURCHASES!D:D,A327))</f>
        <v/>
      </c>
      <c r="D327" t="str">
        <f>IF(A327="","",SUMIFS(PRODUCTION_REPORT!E:E,PRODUCTION_REPORT!D:D,A327)+SUMIFS(PRODUCTION_REPORT!G:G,PRODUCTION_REPORT!F:F,A327)+SUMIFS(PRODUCTION_REPORT!I:I,PRODUCTION_REPORT!H:H,A327)+SUMIFS(PRODUCTION_REPORT!K:K,PRODUCTION_REPORT!J:J,A327)+SUMIFS(PRODUCTION_REPORT!M:M,PRODUCTION_REPORT!L:L,A327)+SUMIFS(PRODUCTION_REPORT!O:O,PRODUCTION_REPORT!N:N,A327))</f>
        <v/>
      </c>
      <c r="E327" t="str">
        <f t="shared" si="10"/>
        <v/>
      </c>
      <c r="F327" t="str">
        <f>IF(A327="","",_xludf.XLOOKUP(A327,MASTER_RAW_MATERIALS!B:B,MASTER_RAW_MATERIALS!E:E,0))</f>
        <v/>
      </c>
      <c r="G327" t="str">
        <f t="shared" si="11"/>
        <v/>
      </c>
    </row>
    <row r="328" spans="1:7" x14ac:dyDescent="0.2">
      <c r="A328" t="str">
        <f>IF(MASTER_RAW_MATERIALS!B328="","",MASTER_RAW_MATERIALS!B328)</f>
        <v/>
      </c>
      <c r="B328" t="str">
        <f>IF(A328="","",MASTER_RAW_MATERIALS!D328)</f>
        <v/>
      </c>
      <c r="C328" t="str">
        <f>IF(A328="","",SUMIFS(PURCHASES!E:E,PURCHASES!D:D,A328))</f>
        <v/>
      </c>
      <c r="D328" t="str">
        <f>IF(A328="","",SUMIFS(PRODUCTION_REPORT!E:E,PRODUCTION_REPORT!D:D,A328)+SUMIFS(PRODUCTION_REPORT!G:G,PRODUCTION_REPORT!F:F,A328)+SUMIFS(PRODUCTION_REPORT!I:I,PRODUCTION_REPORT!H:H,A328)+SUMIFS(PRODUCTION_REPORT!K:K,PRODUCTION_REPORT!J:J,A328)+SUMIFS(PRODUCTION_REPORT!M:M,PRODUCTION_REPORT!L:L,A328)+SUMIFS(PRODUCTION_REPORT!O:O,PRODUCTION_REPORT!N:N,A328))</f>
        <v/>
      </c>
      <c r="E328" t="str">
        <f t="shared" si="10"/>
        <v/>
      </c>
      <c r="F328" t="str">
        <f>IF(A328="","",_xludf.XLOOKUP(A328,MASTER_RAW_MATERIALS!B:B,MASTER_RAW_MATERIALS!E:E,0))</f>
        <v/>
      </c>
      <c r="G328" t="str">
        <f t="shared" si="11"/>
        <v/>
      </c>
    </row>
    <row r="329" spans="1:7" x14ac:dyDescent="0.2">
      <c r="A329" t="str">
        <f>IF(MASTER_RAW_MATERIALS!B329="","",MASTER_RAW_MATERIALS!B329)</f>
        <v/>
      </c>
      <c r="B329" t="str">
        <f>IF(A329="","",MASTER_RAW_MATERIALS!D329)</f>
        <v/>
      </c>
      <c r="C329" t="str">
        <f>IF(A329="","",SUMIFS(PURCHASES!E:E,PURCHASES!D:D,A329))</f>
        <v/>
      </c>
      <c r="D329" t="str">
        <f>IF(A329="","",SUMIFS(PRODUCTION_REPORT!E:E,PRODUCTION_REPORT!D:D,A329)+SUMIFS(PRODUCTION_REPORT!G:G,PRODUCTION_REPORT!F:F,A329)+SUMIFS(PRODUCTION_REPORT!I:I,PRODUCTION_REPORT!H:H,A329)+SUMIFS(PRODUCTION_REPORT!K:K,PRODUCTION_REPORT!J:J,A329)+SUMIFS(PRODUCTION_REPORT!M:M,PRODUCTION_REPORT!L:L,A329)+SUMIFS(PRODUCTION_REPORT!O:O,PRODUCTION_REPORT!N:N,A329))</f>
        <v/>
      </c>
      <c r="E329" t="str">
        <f t="shared" si="10"/>
        <v/>
      </c>
      <c r="F329" t="str">
        <f>IF(A329="","",_xludf.XLOOKUP(A329,MASTER_RAW_MATERIALS!B:B,MASTER_RAW_MATERIALS!E:E,0))</f>
        <v/>
      </c>
      <c r="G329" t="str">
        <f t="shared" si="11"/>
        <v/>
      </c>
    </row>
    <row r="330" spans="1:7" x14ac:dyDescent="0.2">
      <c r="A330" t="str">
        <f>IF(MASTER_RAW_MATERIALS!B330="","",MASTER_RAW_MATERIALS!B330)</f>
        <v/>
      </c>
      <c r="B330" t="str">
        <f>IF(A330="","",MASTER_RAW_MATERIALS!D330)</f>
        <v/>
      </c>
      <c r="C330" t="str">
        <f>IF(A330="","",SUMIFS(PURCHASES!E:E,PURCHASES!D:D,A330))</f>
        <v/>
      </c>
      <c r="D330" t="str">
        <f>IF(A330="","",SUMIFS(PRODUCTION_REPORT!E:E,PRODUCTION_REPORT!D:D,A330)+SUMIFS(PRODUCTION_REPORT!G:G,PRODUCTION_REPORT!F:F,A330)+SUMIFS(PRODUCTION_REPORT!I:I,PRODUCTION_REPORT!H:H,A330)+SUMIFS(PRODUCTION_REPORT!K:K,PRODUCTION_REPORT!J:J,A330)+SUMIFS(PRODUCTION_REPORT!M:M,PRODUCTION_REPORT!L:L,A330)+SUMIFS(PRODUCTION_REPORT!O:O,PRODUCTION_REPORT!N:N,A330))</f>
        <v/>
      </c>
      <c r="E330" t="str">
        <f t="shared" si="10"/>
        <v/>
      </c>
      <c r="F330" t="str">
        <f>IF(A330="","",_xludf.XLOOKUP(A330,MASTER_RAW_MATERIALS!B:B,MASTER_RAW_MATERIALS!E:E,0))</f>
        <v/>
      </c>
      <c r="G330" t="str">
        <f t="shared" si="11"/>
        <v/>
      </c>
    </row>
    <row r="331" spans="1:7" x14ac:dyDescent="0.2">
      <c r="A331" t="str">
        <f>IF(MASTER_RAW_MATERIALS!B331="","",MASTER_RAW_MATERIALS!B331)</f>
        <v/>
      </c>
      <c r="B331" t="str">
        <f>IF(A331="","",MASTER_RAW_MATERIALS!D331)</f>
        <v/>
      </c>
      <c r="C331" t="str">
        <f>IF(A331="","",SUMIFS(PURCHASES!E:E,PURCHASES!D:D,A331))</f>
        <v/>
      </c>
      <c r="D331" t="str">
        <f>IF(A331="","",SUMIFS(PRODUCTION_REPORT!E:E,PRODUCTION_REPORT!D:D,A331)+SUMIFS(PRODUCTION_REPORT!G:G,PRODUCTION_REPORT!F:F,A331)+SUMIFS(PRODUCTION_REPORT!I:I,PRODUCTION_REPORT!H:H,A331)+SUMIFS(PRODUCTION_REPORT!K:K,PRODUCTION_REPORT!J:J,A331)+SUMIFS(PRODUCTION_REPORT!M:M,PRODUCTION_REPORT!L:L,A331)+SUMIFS(PRODUCTION_REPORT!O:O,PRODUCTION_REPORT!N:N,A331))</f>
        <v/>
      </c>
      <c r="E331" t="str">
        <f t="shared" si="10"/>
        <v/>
      </c>
      <c r="F331" t="str">
        <f>IF(A331="","",_xludf.XLOOKUP(A331,MASTER_RAW_MATERIALS!B:B,MASTER_RAW_MATERIALS!E:E,0))</f>
        <v/>
      </c>
      <c r="G331" t="str">
        <f t="shared" si="11"/>
        <v/>
      </c>
    </row>
    <row r="332" spans="1:7" x14ac:dyDescent="0.2">
      <c r="A332" t="str">
        <f>IF(MASTER_RAW_MATERIALS!B332="","",MASTER_RAW_MATERIALS!B332)</f>
        <v/>
      </c>
      <c r="B332" t="str">
        <f>IF(A332="","",MASTER_RAW_MATERIALS!D332)</f>
        <v/>
      </c>
      <c r="C332" t="str">
        <f>IF(A332="","",SUMIFS(PURCHASES!E:E,PURCHASES!D:D,A332))</f>
        <v/>
      </c>
      <c r="D332" t="str">
        <f>IF(A332="","",SUMIFS(PRODUCTION_REPORT!E:E,PRODUCTION_REPORT!D:D,A332)+SUMIFS(PRODUCTION_REPORT!G:G,PRODUCTION_REPORT!F:F,A332)+SUMIFS(PRODUCTION_REPORT!I:I,PRODUCTION_REPORT!H:H,A332)+SUMIFS(PRODUCTION_REPORT!K:K,PRODUCTION_REPORT!J:J,A332)+SUMIFS(PRODUCTION_REPORT!M:M,PRODUCTION_REPORT!L:L,A332)+SUMIFS(PRODUCTION_REPORT!O:O,PRODUCTION_REPORT!N:N,A332))</f>
        <v/>
      </c>
      <c r="E332" t="str">
        <f t="shared" si="10"/>
        <v/>
      </c>
      <c r="F332" t="str">
        <f>IF(A332="","",_xludf.XLOOKUP(A332,MASTER_RAW_MATERIALS!B:B,MASTER_RAW_MATERIALS!E:E,0))</f>
        <v/>
      </c>
      <c r="G332" t="str">
        <f t="shared" si="11"/>
        <v/>
      </c>
    </row>
    <row r="333" spans="1:7" x14ac:dyDescent="0.2">
      <c r="A333" t="str">
        <f>IF(MASTER_RAW_MATERIALS!B333="","",MASTER_RAW_MATERIALS!B333)</f>
        <v/>
      </c>
      <c r="B333" t="str">
        <f>IF(A333="","",MASTER_RAW_MATERIALS!D333)</f>
        <v/>
      </c>
      <c r="C333" t="str">
        <f>IF(A333="","",SUMIFS(PURCHASES!E:E,PURCHASES!D:D,A333))</f>
        <v/>
      </c>
      <c r="D333" t="str">
        <f>IF(A333="","",SUMIFS(PRODUCTION_REPORT!E:E,PRODUCTION_REPORT!D:D,A333)+SUMIFS(PRODUCTION_REPORT!G:G,PRODUCTION_REPORT!F:F,A333)+SUMIFS(PRODUCTION_REPORT!I:I,PRODUCTION_REPORT!H:H,A333)+SUMIFS(PRODUCTION_REPORT!K:K,PRODUCTION_REPORT!J:J,A333)+SUMIFS(PRODUCTION_REPORT!M:M,PRODUCTION_REPORT!L:L,A333)+SUMIFS(PRODUCTION_REPORT!O:O,PRODUCTION_REPORT!N:N,A333))</f>
        <v/>
      </c>
      <c r="E333" t="str">
        <f t="shared" si="10"/>
        <v/>
      </c>
      <c r="F333" t="str">
        <f>IF(A333="","",_xludf.XLOOKUP(A333,MASTER_RAW_MATERIALS!B:B,MASTER_RAW_MATERIALS!E:E,0))</f>
        <v/>
      </c>
      <c r="G333" t="str">
        <f t="shared" si="11"/>
        <v/>
      </c>
    </row>
    <row r="334" spans="1:7" x14ac:dyDescent="0.2">
      <c r="A334" t="str">
        <f>IF(MASTER_RAW_MATERIALS!B334="","",MASTER_RAW_MATERIALS!B334)</f>
        <v/>
      </c>
      <c r="B334" t="str">
        <f>IF(A334="","",MASTER_RAW_MATERIALS!D334)</f>
        <v/>
      </c>
      <c r="C334" t="str">
        <f>IF(A334="","",SUMIFS(PURCHASES!E:E,PURCHASES!D:D,A334))</f>
        <v/>
      </c>
      <c r="D334" t="str">
        <f>IF(A334="","",SUMIFS(PRODUCTION_REPORT!E:E,PRODUCTION_REPORT!D:D,A334)+SUMIFS(PRODUCTION_REPORT!G:G,PRODUCTION_REPORT!F:F,A334)+SUMIFS(PRODUCTION_REPORT!I:I,PRODUCTION_REPORT!H:H,A334)+SUMIFS(PRODUCTION_REPORT!K:K,PRODUCTION_REPORT!J:J,A334)+SUMIFS(PRODUCTION_REPORT!M:M,PRODUCTION_REPORT!L:L,A334)+SUMIFS(PRODUCTION_REPORT!O:O,PRODUCTION_REPORT!N:N,A334))</f>
        <v/>
      </c>
      <c r="E334" t="str">
        <f t="shared" si="10"/>
        <v/>
      </c>
      <c r="F334" t="str">
        <f>IF(A334="","",_xludf.XLOOKUP(A334,MASTER_RAW_MATERIALS!B:B,MASTER_RAW_MATERIALS!E:E,0))</f>
        <v/>
      </c>
      <c r="G334" t="str">
        <f t="shared" si="11"/>
        <v/>
      </c>
    </row>
    <row r="335" spans="1:7" x14ac:dyDescent="0.2">
      <c r="A335" t="str">
        <f>IF(MASTER_RAW_MATERIALS!B335="","",MASTER_RAW_MATERIALS!B335)</f>
        <v/>
      </c>
      <c r="B335" t="str">
        <f>IF(A335="","",MASTER_RAW_MATERIALS!D335)</f>
        <v/>
      </c>
      <c r="C335" t="str">
        <f>IF(A335="","",SUMIFS(PURCHASES!E:E,PURCHASES!D:D,A335))</f>
        <v/>
      </c>
      <c r="D335" t="str">
        <f>IF(A335="","",SUMIFS(PRODUCTION_REPORT!E:E,PRODUCTION_REPORT!D:D,A335)+SUMIFS(PRODUCTION_REPORT!G:G,PRODUCTION_REPORT!F:F,A335)+SUMIFS(PRODUCTION_REPORT!I:I,PRODUCTION_REPORT!H:H,A335)+SUMIFS(PRODUCTION_REPORT!K:K,PRODUCTION_REPORT!J:J,A335)+SUMIFS(PRODUCTION_REPORT!M:M,PRODUCTION_REPORT!L:L,A335)+SUMIFS(PRODUCTION_REPORT!O:O,PRODUCTION_REPORT!N:N,A335))</f>
        <v/>
      </c>
      <c r="E335" t="str">
        <f t="shared" si="10"/>
        <v/>
      </c>
      <c r="F335" t="str">
        <f>IF(A335="","",_xludf.XLOOKUP(A335,MASTER_RAW_MATERIALS!B:B,MASTER_RAW_MATERIALS!E:E,0))</f>
        <v/>
      </c>
      <c r="G335" t="str">
        <f t="shared" si="11"/>
        <v/>
      </c>
    </row>
    <row r="336" spans="1:7" x14ac:dyDescent="0.2">
      <c r="A336" t="str">
        <f>IF(MASTER_RAW_MATERIALS!B336="","",MASTER_RAW_MATERIALS!B336)</f>
        <v/>
      </c>
      <c r="B336" t="str">
        <f>IF(A336="","",MASTER_RAW_MATERIALS!D336)</f>
        <v/>
      </c>
      <c r="C336" t="str">
        <f>IF(A336="","",SUMIFS(PURCHASES!E:E,PURCHASES!D:D,A336))</f>
        <v/>
      </c>
      <c r="D336" t="str">
        <f>IF(A336="","",SUMIFS(PRODUCTION_REPORT!E:E,PRODUCTION_REPORT!D:D,A336)+SUMIFS(PRODUCTION_REPORT!G:G,PRODUCTION_REPORT!F:F,A336)+SUMIFS(PRODUCTION_REPORT!I:I,PRODUCTION_REPORT!H:H,A336)+SUMIFS(PRODUCTION_REPORT!K:K,PRODUCTION_REPORT!J:J,A336)+SUMIFS(PRODUCTION_REPORT!M:M,PRODUCTION_REPORT!L:L,A336)+SUMIFS(PRODUCTION_REPORT!O:O,PRODUCTION_REPORT!N:N,A336))</f>
        <v/>
      </c>
      <c r="E336" t="str">
        <f t="shared" si="10"/>
        <v/>
      </c>
      <c r="F336" t="str">
        <f>IF(A336="","",_xludf.XLOOKUP(A336,MASTER_RAW_MATERIALS!B:B,MASTER_RAW_MATERIALS!E:E,0))</f>
        <v/>
      </c>
      <c r="G336" t="str">
        <f t="shared" si="11"/>
        <v/>
      </c>
    </row>
    <row r="337" spans="1:7" x14ac:dyDescent="0.2">
      <c r="A337" t="str">
        <f>IF(MASTER_RAW_MATERIALS!B337="","",MASTER_RAW_MATERIALS!B337)</f>
        <v/>
      </c>
      <c r="B337" t="str">
        <f>IF(A337="","",MASTER_RAW_MATERIALS!D337)</f>
        <v/>
      </c>
      <c r="C337" t="str">
        <f>IF(A337="","",SUMIFS(PURCHASES!E:E,PURCHASES!D:D,A337))</f>
        <v/>
      </c>
      <c r="D337" t="str">
        <f>IF(A337="","",SUMIFS(PRODUCTION_REPORT!E:E,PRODUCTION_REPORT!D:D,A337)+SUMIFS(PRODUCTION_REPORT!G:G,PRODUCTION_REPORT!F:F,A337)+SUMIFS(PRODUCTION_REPORT!I:I,PRODUCTION_REPORT!H:H,A337)+SUMIFS(PRODUCTION_REPORT!K:K,PRODUCTION_REPORT!J:J,A337)+SUMIFS(PRODUCTION_REPORT!M:M,PRODUCTION_REPORT!L:L,A337)+SUMIFS(PRODUCTION_REPORT!O:O,PRODUCTION_REPORT!N:N,A337))</f>
        <v/>
      </c>
      <c r="E337" t="str">
        <f t="shared" si="10"/>
        <v/>
      </c>
      <c r="F337" t="str">
        <f>IF(A337="","",_xludf.XLOOKUP(A337,MASTER_RAW_MATERIALS!B:B,MASTER_RAW_MATERIALS!E:E,0))</f>
        <v/>
      </c>
      <c r="G337" t="str">
        <f t="shared" si="11"/>
        <v/>
      </c>
    </row>
    <row r="338" spans="1:7" x14ac:dyDescent="0.2">
      <c r="A338" t="str">
        <f>IF(MASTER_RAW_MATERIALS!B338="","",MASTER_RAW_MATERIALS!B338)</f>
        <v/>
      </c>
      <c r="B338" t="str">
        <f>IF(A338="","",MASTER_RAW_MATERIALS!D338)</f>
        <v/>
      </c>
      <c r="C338" t="str">
        <f>IF(A338="","",SUMIFS(PURCHASES!E:E,PURCHASES!D:D,A338))</f>
        <v/>
      </c>
      <c r="D338" t="str">
        <f>IF(A338="","",SUMIFS(PRODUCTION_REPORT!E:E,PRODUCTION_REPORT!D:D,A338)+SUMIFS(PRODUCTION_REPORT!G:G,PRODUCTION_REPORT!F:F,A338)+SUMIFS(PRODUCTION_REPORT!I:I,PRODUCTION_REPORT!H:H,A338)+SUMIFS(PRODUCTION_REPORT!K:K,PRODUCTION_REPORT!J:J,A338)+SUMIFS(PRODUCTION_REPORT!M:M,PRODUCTION_REPORT!L:L,A338)+SUMIFS(PRODUCTION_REPORT!O:O,PRODUCTION_REPORT!N:N,A338))</f>
        <v/>
      </c>
      <c r="E338" t="str">
        <f t="shared" si="10"/>
        <v/>
      </c>
      <c r="F338" t="str">
        <f>IF(A338="","",_xludf.XLOOKUP(A338,MASTER_RAW_MATERIALS!B:B,MASTER_RAW_MATERIALS!E:E,0))</f>
        <v/>
      </c>
      <c r="G338" t="str">
        <f t="shared" si="11"/>
        <v/>
      </c>
    </row>
    <row r="339" spans="1:7" x14ac:dyDescent="0.2">
      <c r="A339" t="str">
        <f>IF(MASTER_RAW_MATERIALS!B339="","",MASTER_RAW_MATERIALS!B339)</f>
        <v/>
      </c>
      <c r="B339" t="str">
        <f>IF(A339="","",MASTER_RAW_MATERIALS!D339)</f>
        <v/>
      </c>
      <c r="C339" t="str">
        <f>IF(A339="","",SUMIFS(PURCHASES!E:E,PURCHASES!D:D,A339))</f>
        <v/>
      </c>
      <c r="D339" t="str">
        <f>IF(A339="","",SUMIFS(PRODUCTION_REPORT!E:E,PRODUCTION_REPORT!D:D,A339)+SUMIFS(PRODUCTION_REPORT!G:G,PRODUCTION_REPORT!F:F,A339)+SUMIFS(PRODUCTION_REPORT!I:I,PRODUCTION_REPORT!H:H,A339)+SUMIFS(PRODUCTION_REPORT!K:K,PRODUCTION_REPORT!J:J,A339)+SUMIFS(PRODUCTION_REPORT!M:M,PRODUCTION_REPORT!L:L,A339)+SUMIFS(PRODUCTION_REPORT!O:O,PRODUCTION_REPORT!N:N,A339))</f>
        <v/>
      </c>
      <c r="E339" t="str">
        <f t="shared" si="10"/>
        <v/>
      </c>
      <c r="F339" t="str">
        <f>IF(A339="","",_xludf.XLOOKUP(A339,MASTER_RAW_MATERIALS!B:B,MASTER_RAW_MATERIALS!E:E,0))</f>
        <v/>
      </c>
      <c r="G339" t="str">
        <f t="shared" si="11"/>
        <v/>
      </c>
    </row>
    <row r="340" spans="1:7" x14ac:dyDescent="0.2">
      <c r="A340" t="str">
        <f>IF(MASTER_RAW_MATERIALS!B340="","",MASTER_RAW_MATERIALS!B340)</f>
        <v/>
      </c>
      <c r="B340" t="str">
        <f>IF(A340="","",MASTER_RAW_MATERIALS!D340)</f>
        <v/>
      </c>
      <c r="C340" t="str">
        <f>IF(A340="","",SUMIFS(PURCHASES!E:E,PURCHASES!D:D,A340))</f>
        <v/>
      </c>
      <c r="D340" t="str">
        <f>IF(A340="","",SUMIFS(PRODUCTION_REPORT!E:E,PRODUCTION_REPORT!D:D,A340)+SUMIFS(PRODUCTION_REPORT!G:G,PRODUCTION_REPORT!F:F,A340)+SUMIFS(PRODUCTION_REPORT!I:I,PRODUCTION_REPORT!H:H,A340)+SUMIFS(PRODUCTION_REPORT!K:K,PRODUCTION_REPORT!J:J,A340)+SUMIFS(PRODUCTION_REPORT!M:M,PRODUCTION_REPORT!L:L,A340)+SUMIFS(PRODUCTION_REPORT!O:O,PRODUCTION_REPORT!N:N,A340))</f>
        <v/>
      </c>
      <c r="E340" t="str">
        <f t="shared" si="10"/>
        <v/>
      </c>
      <c r="F340" t="str">
        <f>IF(A340="","",_xludf.XLOOKUP(A340,MASTER_RAW_MATERIALS!B:B,MASTER_RAW_MATERIALS!E:E,0))</f>
        <v/>
      </c>
      <c r="G340" t="str">
        <f t="shared" si="11"/>
        <v/>
      </c>
    </row>
    <row r="341" spans="1:7" x14ac:dyDescent="0.2">
      <c r="A341" t="str">
        <f>IF(MASTER_RAW_MATERIALS!B341="","",MASTER_RAW_MATERIALS!B341)</f>
        <v/>
      </c>
      <c r="B341" t="str">
        <f>IF(A341="","",MASTER_RAW_MATERIALS!D341)</f>
        <v/>
      </c>
      <c r="C341" t="str">
        <f>IF(A341="","",SUMIFS(PURCHASES!E:E,PURCHASES!D:D,A341))</f>
        <v/>
      </c>
      <c r="D341" t="str">
        <f>IF(A341="","",SUMIFS(PRODUCTION_REPORT!E:E,PRODUCTION_REPORT!D:D,A341)+SUMIFS(PRODUCTION_REPORT!G:G,PRODUCTION_REPORT!F:F,A341)+SUMIFS(PRODUCTION_REPORT!I:I,PRODUCTION_REPORT!H:H,A341)+SUMIFS(PRODUCTION_REPORT!K:K,PRODUCTION_REPORT!J:J,A341)+SUMIFS(PRODUCTION_REPORT!M:M,PRODUCTION_REPORT!L:L,A341)+SUMIFS(PRODUCTION_REPORT!O:O,PRODUCTION_REPORT!N:N,A341))</f>
        <v/>
      </c>
      <c r="E341" t="str">
        <f t="shared" si="10"/>
        <v/>
      </c>
      <c r="F341" t="str">
        <f>IF(A341="","",_xludf.XLOOKUP(A341,MASTER_RAW_MATERIALS!B:B,MASTER_RAW_MATERIALS!E:E,0))</f>
        <v/>
      </c>
      <c r="G341" t="str">
        <f t="shared" si="11"/>
        <v/>
      </c>
    </row>
    <row r="342" spans="1:7" x14ac:dyDescent="0.2">
      <c r="A342" t="str">
        <f>IF(MASTER_RAW_MATERIALS!B342="","",MASTER_RAW_MATERIALS!B342)</f>
        <v/>
      </c>
      <c r="B342" t="str">
        <f>IF(A342="","",MASTER_RAW_MATERIALS!D342)</f>
        <v/>
      </c>
      <c r="C342" t="str">
        <f>IF(A342="","",SUMIFS(PURCHASES!E:E,PURCHASES!D:D,A342))</f>
        <v/>
      </c>
      <c r="D342" t="str">
        <f>IF(A342="","",SUMIFS(PRODUCTION_REPORT!E:E,PRODUCTION_REPORT!D:D,A342)+SUMIFS(PRODUCTION_REPORT!G:G,PRODUCTION_REPORT!F:F,A342)+SUMIFS(PRODUCTION_REPORT!I:I,PRODUCTION_REPORT!H:H,A342)+SUMIFS(PRODUCTION_REPORT!K:K,PRODUCTION_REPORT!J:J,A342)+SUMIFS(PRODUCTION_REPORT!M:M,PRODUCTION_REPORT!L:L,A342)+SUMIFS(PRODUCTION_REPORT!O:O,PRODUCTION_REPORT!N:N,A342))</f>
        <v/>
      </c>
      <c r="E342" t="str">
        <f t="shared" si="10"/>
        <v/>
      </c>
      <c r="F342" t="str">
        <f>IF(A342="","",_xludf.XLOOKUP(A342,MASTER_RAW_MATERIALS!B:B,MASTER_RAW_MATERIALS!E:E,0))</f>
        <v/>
      </c>
      <c r="G342" t="str">
        <f t="shared" si="11"/>
        <v/>
      </c>
    </row>
    <row r="343" spans="1:7" x14ac:dyDescent="0.2">
      <c r="A343" t="str">
        <f>IF(MASTER_RAW_MATERIALS!B343="","",MASTER_RAW_MATERIALS!B343)</f>
        <v/>
      </c>
      <c r="B343" t="str">
        <f>IF(A343="","",MASTER_RAW_MATERIALS!D343)</f>
        <v/>
      </c>
      <c r="C343" t="str">
        <f>IF(A343="","",SUMIFS(PURCHASES!E:E,PURCHASES!D:D,A343))</f>
        <v/>
      </c>
      <c r="D343" t="str">
        <f>IF(A343="","",SUMIFS(PRODUCTION_REPORT!E:E,PRODUCTION_REPORT!D:D,A343)+SUMIFS(PRODUCTION_REPORT!G:G,PRODUCTION_REPORT!F:F,A343)+SUMIFS(PRODUCTION_REPORT!I:I,PRODUCTION_REPORT!H:H,A343)+SUMIFS(PRODUCTION_REPORT!K:K,PRODUCTION_REPORT!J:J,A343)+SUMIFS(PRODUCTION_REPORT!M:M,PRODUCTION_REPORT!L:L,A343)+SUMIFS(PRODUCTION_REPORT!O:O,PRODUCTION_REPORT!N:N,A343))</f>
        <v/>
      </c>
      <c r="E343" t="str">
        <f t="shared" si="10"/>
        <v/>
      </c>
      <c r="F343" t="str">
        <f>IF(A343="","",_xludf.XLOOKUP(A343,MASTER_RAW_MATERIALS!B:B,MASTER_RAW_MATERIALS!E:E,0))</f>
        <v/>
      </c>
      <c r="G343" t="str">
        <f t="shared" si="11"/>
        <v/>
      </c>
    </row>
    <row r="344" spans="1:7" x14ac:dyDescent="0.2">
      <c r="A344" t="str">
        <f>IF(MASTER_RAW_MATERIALS!B344="","",MASTER_RAW_MATERIALS!B344)</f>
        <v/>
      </c>
      <c r="B344" t="str">
        <f>IF(A344="","",MASTER_RAW_MATERIALS!D344)</f>
        <v/>
      </c>
      <c r="C344" t="str">
        <f>IF(A344="","",SUMIFS(PURCHASES!E:E,PURCHASES!D:D,A344))</f>
        <v/>
      </c>
      <c r="D344" t="str">
        <f>IF(A344="","",SUMIFS(PRODUCTION_REPORT!E:E,PRODUCTION_REPORT!D:D,A344)+SUMIFS(PRODUCTION_REPORT!G:G,PRODUCTION_REPORT!F:F,A344)+SUMIFS(PRODUCTION_REPORT!I:I,PRODUCTION_REPORT!H:H,A344)+SUMIFS(PRODUCTION_REPORT!K:K,PRODUCTION_REPORT!J:J,A344)+SUMIFS(PRODUCTION_REPORT!M:M,PRODUCTION_REPORT!L:L,A344)+SUMIFS(PRODUCTION_REPORT!O:O,PRODUCTION_REPORT!N:N,A344))</f>
        <v/>
      </c>
      <c r="E344" t="str">
        <f t="shared" si="10"/>
        <v/>
      </c>
      <c r="F344" t="str">
        <f>IF(A344="","",_xludf.XLOOKUP(A344,MASTER_RAW_MATERIALS!B:B,MASTER_RAW_MATERIALS!E:E,0))</f>
        <v/>
      </c>
      <c r="G344" t="str">
        <f t="shared" si="11"/>
        <v/>
      </c>
    </row>
    <row r="345" spans="1:7" x14ac:dyDescent="0.2">
      <c r="A345" t="str">
        <f>IF(MASTER_RAW_MATERIALS!B345="","",MASTER_RAW_MATERIALS!B345)</f>
        <v/>
      </c>
      <c r="B345" t="str">
        <f>IF(A345="","",MASTER_RAW_MATERIALS!D345)</f>
        <v/>
      </c>
      <c r="C345" t="str">
        <f>IF(A345="","",SUMIFS(PURCHASES!E:E,PURCHASES!D:D,A345))</f>
        <v/>
      </c>
      <c r="D345" t="str">
        <f>IF(A345="","",SUMIFS(PRODUCTION_REPORT!E:E,PRODUCTION_REPORT!D:D,A345)+SUMIFS(PRODUCTION_REPORT!G:G,PRODUCTION_REPORT!F:F,A345)+SUMIFS(PRODUCTION_REPORT!I:I,PRODUCTION_REPORT!H:H,A345)+SUMIFS(PRODUCTION_REPORT!K:K,PRODUCTION_REPORT!J:J,A345)+SUMIFS(PRODUCTION_REPORT!M:M,PRODUCTION_REPORT!L:L,A345)+SUMIFS(PRODUCTION_REPORT!O:O,PRODUCTION_REPORT!N:N,A345))</f>
        <v/>
      </c>
      <c r="E345" t="str">
        <f t="shared" si="10"/>
        <v/>
      </c>
      <c r="F345" t="str">
        <f>IF(A345="","",_xludf.XLOOKUP(A345,MASTER_RAW_MATERIALS!B:B,MASTER_RAW_MATERIALS!E:E,0))</f>
        <v/>
      </c>
      <c r="G345" t="str">
        <f t="shared" si="11"/>
        <v/>
      </c>
    </row>
    <row r="346" spans="1:7" x14ac:dyDescent="0.2">
      <c r="A346" t="str">
        <f>IF(MASTER_RAW_MATERIALS!B346="","",MASTER_RAW_MATERIALS!B346)</f>
        <v/>
      </c>
      <c r="B346" t="str">
        <f>IF(A346="","",MASTER_RAW_MATERIALS!D346)</f>
        <v/>
      </c>
      <c r="C346" t="str">
        <f>IF(A346="","",SUMIFS(PURCHASES!E:E,PURCHASES!D:D,A346))</f>
        <v/>
      </c>
      <c r="D346" t="str">
        <f>IF(A346="","",SUMIFS(PRODUCTION_REPORT!E:E,PRODUCTION_REPORT!D:D,A346)+SUMIFS(PRODUCTION_REPORT!G:G,PRODUCTION_REPORT!F:F,A346)+SUMIFS(PRODUCTION_REPORT!I:I,PRODUCTION_REPORT!H:H,A346)+SUMIFS(PRODUCTION_REPORT!K:K,PRODUCTION_REPORT!J:J,A346)+SUMIFS(PRODUCTION_REPORT!M:M,PRODUCTION_REPORT!L:L,A346)+SUMIFS(PRODUCTION_REPORT!O:O,PRODUCTION_REPORT!N:N,A346))</f>
        <v/>
      </c>
      <c r="E346" t="str">
        <f t="shared" si="10"/>
        <v/>
      </c>
      <c r="F346" t="str">
        <f>IF(A346="","",_xludf.XLOOKUP(A346,MASTER_RAW_MATERIALS!B:B,MASTER_RAW_MATERIALS!E:E,0))</f>
        <v/>
      </c>
      <c r="G346" t="str">
        <f t="shared" si="11"/>
        <v/>
      </c>
    </row>
    <row r="347" spans="1:7" x14ac:dyDescent="0.2">
      <c r="A347" t="str">
        <f>IF(MASTER_RAW_MATERIALS!B347="","",MASTER_RAW_MATERIALS!B347)</f>
        <v/>
      </c>
      <c r="B347" t="str">
        <f>IF(A347="","",MASTER_RAW_MATERIALS!D347)</f>
        <v/>
      </c>
      <c r="C347" t="str">
        <f>IF(A347="","",SUMIFS(PURCHASES!E:E,PURCHASES!D:D,A347))</f>
        <v/>
      </c>
      <c r="D347" t="str">
        <f>IF(A347="","",SUMIFS(PRODUCTION_REPORT!E:E,PRODUCTION_REPORT!D:D,A347)+SUMIFS(PRODUCTION_REPORT!G:G,PRODUCTION_REPORT!F:F,A347)+SUMIFS(PRODUCTION_REPORT!I:I,PRODUCTION_REPORT!H:H,A347)+SUMIFS(PRODUCTION_REPORT!K:K,PRODUCTION_REPORT!J:J,A347)+SUMIFS(PRODUCTION_REPORT!M:M,PRODUCTION_REPORT!L:L,A347)+SUMIFS(PRODUCTION_REPORT!O:O,PRODUCTION_REPORT!N:N,A347))</f>
        <v/>
      </c>
      <c r="E347" t="str">
        <f t="shared" si="10"/>
        <v/>
      </c>
      <c r="F347" t="str">
        <f>IF(A347="","",_xludf.XLOOKUP(A347,MASTER_RAW_MATERIALS!B:B,MASTER_RAW_MATERIALS!E:E,0))</f>
        <v/>
      </c>
      <c r="G347" t="str">
        <f t="shared" si="11"/>
        <v/>
      </c>
    </row>
    <row r="348" spans="1:7" x14ac:dyDescent="0.2">
      <c r="A348" t="str">
        <f>IF(MASTER_RAW_MATERIALS!B348="","",MASTER_RAW_MATERIALS!B348)</f>
        <v/>
      </c>
      <c r="B348" t="str">
        <f>IF(A348="","",MASTER_RAW_MATERIALS!D348)</f>
        <v/>
      </c>
      <c r="C348" t="str">
        <f>IF(A348="","",SUMIFS(PURCHASES!E:E,PURCHASES!D:D,A348))</f>
        <v/>
      </c>
      <c r="D348" t="str">
        <f>IF(A348="","",SUMIFS(PRODUCTION_REPORT!E:E,PRODUCTION_REPORT!D:D,A348)+SUMIFS(PRODUCTION_REPORT!G:G,PRODUCTION_REPORT!F:F,A348)+SUMIFS(PRODUCTION_REPORT!I:I,PRODUCTION_REPORT!H:H,A348)+SUMIFS(PRODUCTION_REPORT!K:K,PRODUCTION_REPORT!J:J,A348)+SUMIFS(PRODUCTION_REPORT!M:M,PRODUCTION_REPORT!L:L,A348)+SUMIFS(PRODUCTION_REPORT!O:O,PRODUCTION_REPORT!N:N,A348))</f>
        <v/>
      </c>
      <c r="E348" t="str">
        <f t="shared" si="10"/>
        <v/>
      </c>
      <c r="F348" t="str">
        <f>IF(A348="","",_xludf.XLOOKUP(A348,MASTER_RAW_MATERIALS!B:B,MASTER_RAW_MATERIALS!E:E,0))</f>
        <v/>
      </c>
      <c r="G348" t="str">
        <f t="shared" si="11"/>
        <v/>
      </c>
    </row>
    <row r="349" spans="1:7" x14ac:dyDescent="0.2">
      <c r="A349" t="str">
        <f>IF(MASTER_RAW_MATERIALS!B349="","",MASTER_RAW_MATERIALS!B349)</f>
        <v/>
      </c>
      <c r="B349" t="str">
        <f>IF(A349="","",MASTER_RAW_MATERIALS!D349)</f>
        <v/>
      </c>
      <c r="C349" t="str">
        <f>IF(A349="","",SUMIFS(PURCHASES!E:E,PURCHASES!D:D,A349))</f>
        <v/>
      </c>
      <c r="D349" t="str">
        <f>IF(A349="","",SUMIFS(PRODUCTION_REPORT!E:E,PRODUCTION_REPORT!D:D,A349)+SUMIFS(PRODUCTION_REPORT!G:G,PRODUCTION_REPORT!F:F,A349)+SUMIFS(PRODUCTION_REPORT!I:I,PRODUCTION_REPORT!H:H,A349)+SUMIFS(PRODUCTION_REPORT!K:K,PRODUCTION_REPORT!J:J,A349)+SUMIFS(PRODUCTION_REPORT!M:M,PRODUCTION_REPORT!L:L,A349)+SUMIFS(PRODUCTION_REPORT!O:O,PRODUCTION_REPORT!N:N,A349))</f>
        <v/>
      </c>
      <c r="E349" t="str">
        <f t="shared" si="10"/>
        <v/>
      </c>
      <c r="F349" t="str">
        <f>IF(A349="","",_xludf.XLOOKUP(A349,MASTER_RAW_MATERIALS!B:B,MASTER_RAW_MATERIALS!E:E,0))</f>
        <v/>
      </c>
      <c r="G349" t="str">
        <f t="shared" si="11"/>
        <v/>
      </c>
    </row>
    <row r="350" spans="1:7" x14ac:dyDescent="0.2">
      <c r="A350" t="str">
        <f>IF(MASTER_RAW_MATERIALS!B350="","",MASTER_RAW_MATERIALS!B350)</f>
        <v/>
      </c>
      <c r="B350" t="str">
        <f>IF(A350="","",MASTER_RAW_MATERIALS!D350)</f>
        <v/>
      </c>
      <c r="C350" t="str">
        <f>IF(A350="","",SUMIFS(PURCHASES!E:E,PURCHASES!D:D,A350))</f>
        <v/>
      </c>
      <c r="D350" t="str">
        <f>IF(A350="","",SUMIFS(PRODUCTION_REPORT!E:E,PRODUCTION_REPORT!D:D,A350)+SUMIFS(PRODUCTION_REPORT!G:G,PRODUCTION_REPORT!F:F,A350)+SUMIFS(PRODUCTION_REPORT!I:I,PRODUCTION_REPORT!H:H,A350)+SUMIFS(PRODUCTION_REPORT!K:K,PRODUCTION_REPORT!J:J,A350)+SUMIFS(PRODUCTION_REPORT!M:M,PRODUCTION_REPORT!L:L,A350)+SUMIFS(PRODUCTION_REPORT!O:O,PRODUCTION_REPORT!N:N,A350))</f>
        <v/>
      </c>
      <c r="E350" t="str">
        <f t="shared" si="10"/>
        <v/>
      </c>
      <c r="F350" t="str">
        <f>IF(A350="","",_xludf.XLOOKUP(A350,MASTER_RAW_MATERIALS!B:B,MASTER_RAW_MATERIALS!E:E,0))</f>
        <v/>
      </c>
      <c r="G350" t="str">
        <f t="shared" si="11"/>
        <v/>
      </c>
    </row>
    <row r="351" spans="1:7" x14ac:dyDescent="0.2">
      <c r="A351" t="str">
        <f>IF(MASTER_RAW_MATERIALS!B351="","",MASTER_RAW_MATERIALS!B351)</f>
        <v/>
      </c>
      <c r="B351" t="str">
        <f>IF(A351="","",MASTER_RAW_MATERIALS!D351)</f>
        <v/>
      </c>
      <c r="C351" t="str">
        <f>IF(A351="","",SUMIFS(PURCHASES!E:E,PURCHASES!D:D,A351))</f>
        <v/>
      </c>
      <c r="D351" t="str">
        <f>IF(A351="","",SUMIFS(PRODUCTION_REPORT!E:E,PRODUCTION_REPORT!D:D,A351)+SUMIFS(PRODUCTION_REPORT!G:G,PRODUCTION_REPORT!F:F,A351)+SUMIFS(PRODUCTION_REPORT!I:I,PRODUCTION_REPORT!H:H,A351)+SUMIFS(PRODUCTION_REPORT!K:K,PRODUCTION_REPORT!J:J,A351)+SUMIFS(PRODUCTION_REPORT!M:M,PRODUCTION_REPORT!L:L,A351)+SUMIFS(PRODUCTION_REPORT!O:O,PRODUCTION_REPORT!N:N,A351))</f>
        <v/>
      </c>
      <c r="E351" t="str">
        <f t="shared" si="10"/>
        <v/>
      </c>
      <c r="F351" t="str">
        <f>IF(A351="","",_xludf.XLOOKUP(A351,MASTER_RAW_MATERIALS!B:B,MASTER_RAW_MATERIALS!E:E,0))</f>
        <v/>
      </c>
      <c r="G351" t="str">
        <f t="shared" si="11"/>
        <v/>
      </c>
    </row>
    <row r="352" spans="1:7" x14ac:dyDescent="0.2">
      <c r="A352" t="str">
        <f>IF(MASTER_RAW_MATERIALS!B352="","",MASTER_RAW_MATERIALS!B352)</f>
        <v/>
      </c>
      <c r="B352" t="str">
        <f>IF(A352="","",MASTER_RAW_MATERIALS!D352)</f>
        <v/>
      </c>
      <c r="C352" t="str">
        <f>IF(A352="","",SUMIFS(PURCHASES!E:E,PURCHASES!D:D,A352))</f>
        <v/>
      </c>
      <c r="D352" t="str">
        <f>IF(A352="","",SUMIFS(PRODUCTION_REPORT!E:E,PRODUCTION_REPORT!D:D,A352)+SUMIFS(PRODUCTION_REPORT!G:G,PRODUCTION_REPORT!F:F,A352)+SUMIFS(PRODUCTION_REPORT!I:I,PRODUCTION_REPORT!H:H,A352)+SUMIFS(PRODUCTION_REPORT!K:K,PRODUCTION_REPORT!J:J,A352)+SUMIFS(PRODUCTION_REPORT!M:M,PRODUCTION_REPORT!L:L,A352)+SUMIFS(PRODUCTION_REPORT!O:O,PRODUCTION_REPORT!N:N,A352))</f>
        <v/>
      </c>
      <c r="E352" t="str">
        <f t="shared" si="10"/>
        <v/>
      </c>
      <c r="F352" t="str">
        <f>IF(A352="","",_xludf.XLOOKUP(A352,MASTER_RAW_MATERIALS!B:B,MASTER_RAW_MATERIALS!E:E,0))</f>
        <v/>
      </c>
      <c r="G352" t="str">
        <f t="shared" si="11"/>
        <v/>
      </c>
    </row>
    <row r="353" spans="1:7" x14ac:dyDescent="0.2">
      <c r="A353" t="str">
        <f>IF(MASTER_RAW_MATERIALS!B353="","",MASTER_RAW_MATERIALS!B353)</f>
        <v/>
      </c>
      <c r="B353" t="str">
        <f>IF(A353="","",MASTER_RAW_MATERIALS!D353)</f>
        <v/>
      </c>
      <c r="C353" t="str">
        <f>IF(A353="","",SUMIFS(PURCHASES!E:E,PURCHASES!D:D,A353))</f>
        <v/>
      </c>
      <c r="D353" t="str">
        <f>IF(A353="","",SUMIFS(PRODUCTION_REPORT!E:E,PRODUCTION_REPORT!D:D,A353)+SUMIFS(PRODUCTION_REPORT!G:G,PRODUCTION_REPORT!F:F,A353)+SUMIFS(PRODUCTION_REPORT!I:I,PRODUCTION_REPORT!H:H,A353)+SUMIFS(PRODUCTION_REPORT!K:K,PRODUCTION_REPORT!J:J,A353)+SUMIFS(PRODUCTION_REPORT!M:M,PRODUCTION_REPORT!L:L,A353)+SUMIFS(PRODUCTION_REPORT!O:O,PRODUCTION_REPORT!N:N,A353))</f>
        <v/>
      </c>
      <c r="E353" t="str">
        <f t="shared" si="10"/>
        <v/>
      </c>
      <c r="F353" t="str">
        <f>IF(A353="","",_xludf.XLOOKUP(A353,MASTER_RAW_MATERIALS!B:B,MASTER_RAW_MATERIALS!E:E,0))</f>
        <v/>
      </c>
      <c r="G353" t="str">
        <f t="shared" si="11"/>
        <v/>
      </c>
    </row>
    <row r="354" spans="1:7" x14ac:dyDescent="0.2">
      <c r="A354" t="str">
        <f>IF(MASTER_RAW_MATERIALS!B354="","",MASTER_RAW_MATERIALS!B354)</f>
        <v/>
      </c>
      <c r="B354" t="str">
        <f>IF(A354="","",MASTER_RAW_MATERIALS!D354)</f>
        <v/>
      </c>
      <c r="C354" t="str">
        <f>IF(A354="","",SUMIFS(PURCHASES!E:E,PURCHASES!D:D,A354))</f>
        <v/>
      </c>
      <c r="D354" t="str">
        <f>IF(A354="","",SUMIFS(PRODUCTION_REPORT!E:E,PRODUCTION_REPORT!D:D,A354)+SUMIFS(PRODUCTION_REPORT!G:G,PRODUCTION_REPORT!F:F,A354)+SUMIFS(PRODUCTION_REPORT!I:I,PRODUCTION_REPORT!H:H,A354)+SUMIFS(PRODUCTION_REPORT!K:K,PRODUCTION_REPORT!J:J,A354)+SUMIFS(PRODUCTION_REPORT!M:M,PRODUCTION_REPORT!L:L,A354)+SUMIFS(PRODUCTION_REPORT!O:O,PRODUCTION_REPORT!N:N,A354))</f>
        <v/>
      </c>
      <c r="E354" t="str">
        <f t="shared" si="10"/>
        <v/>
      </c>
      <c r="F354" t="str">
        <f>IF(A354="","",_xludf.XLOOKUP(A354,MASTER_RAW_MATERIALS!B:B,MASTER_RAW_MATERIALS!E:E,0))</f>
        <v/>
      </c>
      <c r="G354" t="str">
        <f t="shared" si="11"/>
        <v/>
      </c>
    </row>
    <row r="355" spans="1:7" x14ac:dyDescent="0.2">
      <c r="A355" t="str">
        <f>IF(MASTER_RAW_MATERIALS!B355="","",MASTER_RAW_MATERIALS!B355)</f>
        <v/>
      </c>
      <c r="B355" t="str">
        <f>IF(A355="","",MASTER_RAW_MATERIALS!D355)</f>
        <v/>
      </c>
      <c r="C355" t="str">
        <f>IF(A355="","",SUMIFS(PURCHASES!E:E,PURCHASES!D:D,A355))</f>
        <v/>
      </c>
      <c r="D355" t="str">
        <f>IF(A355="","",SUMIFS(PRODUCTION_REPORT!E:E,PRODUCTION_REPORT!D:D,A355)+SUMIFS(PRODUCTION_REPORT!G:G,PRODUCTION_REPORT!F:F,A355)+SUMIFS(PRODUCTION_REPORT!I:I,PRODUCTION_REPORT!H:H,A355)+SUMIFS(PRODUCTION_REPORT!K:K,PRODUCTION_REPORT!J:J,A355)+SUMIFS(PRODUCTION_REPORT!M:M,PRODUCTION_REPORT!L:L,A355)+SUMIFS(PRODUCTION_REPORT!O:O,PRODUCTION_REPORT!N:N,A355))</f>
        <v/>
      </c>
      <c r="E355" t="str">
        <f t="shared" si="10"/>
        <v/>
      </c>
      <c r="F355" t="str">
        <f>IF(A355="","",_xludf.XLOOKUP(A355,MASTER_RAW_MATERIALS!B:B,MASTER_RAW_MATERIALS!E:E,0))</f>
        <v/>
      </c>
      <c r="G355" t="str">
        <f t="shared" si="11"/>
        <v/>
      </c>
    </row>
    <row r="356" spans="1:7" x14ac:dyDescent="0.2">
      <c r="A356" t="str">
        <f>IF(MASTER_RAW_MATERIALS!B356="","",MASTER_RAW_MATERIALS!B356)</f>
        <v/>
      </c>
      <c r="B356" t="str">
        <f>IF(A356="","",MASTER_RAW_MATERIALS!D356)</f>
        <v/>
      </c>
      <c r="C356" t="str">
        <f>IF(A356="","",SUMIFS(PURCHASES!E:E,PURCHASES!D:D,A356))</f>
        <v/>
      </c>
      <c r="D356" t="str">
        <f>IF(A356="","",SUMIFS(PRODUCTION_REPORT!E:E,PRODUCTION_REPORT!D:D,A356)+SUMIFS(PRODUCTION_REPORT!G:G,PRODUCTION_REPORT!F:F,A356)+SUMIFS(PRODUCTION_REPORT!I:I,PRODUCTION_REPORT!H:H,A356)+SUMIFS(PRODUCTION_REPORT!K:K,PRODUCTION_REPORT!J:J,A356)+SUMIFS(PRODUCTION_REPORT!M:M,PRODUCTION_REPORT!L:L,A356)+SUMIFS(PRODUCTION_REPORT!O:O,PRODUCTION_REPORT!N:N,A356))</f>
        <v/>
      </c>
      <c r="E356" t="str">
        <f t="shared" si="10"/>
        <v/>
      </c>
      <c r="F356" t="str">
        <f>IF(A356="","",_xludf.XLOOKUP(A356,MASTER_RAW_MATERIALS!B:B,MASTER_RAW_MATERIALS!E:E,0))</f>
        <v/>
      </c>
      <c r="G356" t="str">
        <f t="shared" si="11"/>
        <v/>
      </c>
    </row>
    <row r="357" spans="1:7" x14ac:dyDescent="0.2">
      <c r="A357" t="str">
        <f>IF(MASTER_RAW_MATERIALS!B357="","",MASTER_RAW_MATERIALS!B357)</f>
        <v/>
      </c>
      <c r="B357" t="str">
        <f>IF(A357="","",MASTER_RAW_MATERIALS!D357)</f>
        <v/>
      </c>
      <c r="C357" t="str">
        <f>IF(A357="","",SUMIFS(PURCHASES!E:E,PURCHASES!D:D,A357))</f>
        <v/>
      </c>
      <c r="D357" t="str">
        <f>IF(A357="","",SUMIFS(PRODUCTION_REPORT!E:E,PRODUCTION_REPORT!D:D,A357)+SUMIFS(PRODUCTION_REPORT!G:G,PRODUCTION_REPORT!F:F,A357)+SUMIFS(PRODUCTION_REPORT!I:I,PRODUCTION_REPORT!H:H,A357)+SUMIFS(PRODUCTION_REPORT!K:K,PRODUCTION_REPORT!J:J,A357)+SUMIFS(PRODUCTION_REPORT!M:M,PRODUCTION_REPORT!L:L,A357)+SUMIFS(PRODUCTION_REPORT!O:O,PRODUCTION_REPORT!N:N,A357))</f>
        <v/>
      </c>
      <c r="E357" t="str">
        <f t="shared" si="10"/>
        <v/>
      </c>
      <c r="F357" t="str">
        <f>IF(A357="","",_xludf.XLOOKUP(A357,MASTER_RAW_MATERIALS!B:B,MASTER_RAW_MATERIALS!E:E,0))</f>
        <v/>
      </c>
      <c r="G357" t="str">
        <f t="shared" si="11"/>
        <v/>
      </c>
    </row>
    <row r="358" spans="1:7" x14ac:dyDescent="0.2">
      <c r="A358" t="str">
        <f>IF(MASTER_RAW_MATERIALS!B358="","",MASTER_RAW_MATERIALS!B358)</f>
        <v/>
      </c>
      <c r="B358" t="str">
        <f>IF(A358="","",MASTER_RAW_MATERIALS!D358)</f>
        <v/>
      </c>
      <c r="C358" t="str">
        <f>IF(A358="","",SUMIFS(PURCHASES!E:E,PURCHASES!D:D,A358))</f>
        <v/>
      </c>
      <c r="D358" t="str">
        <f>IF(A358="","",SUMIFS(PRODUCTION_REPORT!E:E,PRODUCTION_REPORT!D:D,A358)+SUMIFS(PRODUCTION_REPORT!G:G,PRODUCTION_REPORT!F:F,A358)+SUMIFS(PRODUCTION_REPORT!I:I,PRODUCTION_REPORT!H:H,A358)+SUMIFS(PRODUCTION_REPORT!K:K,PRODUCTION_REPORT!J:J,A358)+SUMIFS(PRODUCTION_REPORT!M:M,PRODUCTION_REPORT!L:L,A358)+SUMIFS(PRODUCTION_REPORT!O:O,PRODUCTION_REPORT!N:N,A358))</f>
        <v/>
      </c>
      <c r="E358" t="str">
        <f t="shared" si="10"/>
        <v/>
      </c>
      <c r="F358" t="str">
        <f>IF(A358="","",_xludf.XLOOKUP(A358,MASTER_RAW_MATERIALS!B:B,MASTER_RAW_MATERIALS!E:E,0))</f>
        <v/>
      </c>
      <c r="G358" t="str">
        <f t="shared" si="11"/>
        <v/>
      </c>
    </row>
    <row r="359" spans="1:7" x14ac:dyDescent="0.2">
      <c r="A359" t="str">
        <f>IF(MASTER_RAW_MATERIALS!B359="","",MASTER_RAW_MATERIALS!B359)</f>
        <v/>
      </c>
      <c r="B359" t="str">
        <f>IF(A359="","",MASTER_RAW_MATERIALS!D359)</f>
        <v/>
      </c>
      <c r="C359" t="str">
        <f>IF(A359="","",SUMIFS(PURCHASES!E:E,PURCHASES!D:D,A359))</f>
        <v/>
      </c>
      <c r="D359" t="str">
        <f>IF(A359="","",SUMIFS(PRODUCTION_REPORT!E:E,PRODUCTION_REPORT!D:D,A359)+SUMIFS(PRODUCTION_REPORT!G:G,PRODUCTION_REPORT!F:F,A359)+SUMIFS(PRODUCTION_REPORT!I:I,PRODUCTION_REPORT!H:H,A359)+SUMIFS(PRODUCTION_REPORT!K:K,PRODUCTION_REPORT!J:J,A359)+SUMIFS(PRODUCTION_REPORT!M:M,PRODUCTION_REPORT!L:L,A359)+SUMIFS(PRODUCTION_REPORT!O:O,PRODUCTION_REPORT!N:N,A359))</f>
        <v/>
      </c>
      <c r="E359" t="str">
        <f t="shared" si="10"/>
        <v/>
      </c>
      <c r="F359" t="str">
        <f>IF(A359="","",_xludf.XLOOKUP(A359,MASTER_RAW_MATERIALS!B:B,MASTER_RAW_MATERIALS!E:E,0))</f>
        <v/>
      </c>
      <c r="G359" t="str">
        <f t="shared" si="11"/>
        <v/>
      </c>
    </row>
    <row r="360" spans="1:7" x14ac:dyDescent="0.2">
      <c r="A360" t="str">
        <f>IF(MASTER_RAW_MATERIALS!B360="","",MASTER_RAW_MATERIALS!B360)</f>
        <v/>
      </c>
      <c r="B360" t="str">
        <f>IF(A360="","",MASTER_RAW_MATERIALS!D360)</f>
        <v/>
      </c>
      <c r="C360" t="str">
        <f>IF(A360="","",SUMIFS(PURCHASES!E:E,PURCHASES!D:D,A360))</f>
        <v/>
      </c>
      <c r="D360" t="str">
        <f>IF(A360="","",SUMIFS(PRODUCTION_REPORT!E:E,PRODUCTION_REPORT!D:D,A360)+SUMIFS(PRODUCTION_REPORT!G:G,PRODUCTION_REPORT!F:F,A360)+SUMIFS(PRODUCTION_REPORT!I:I,PRODUCTION_REPORT!H:H,A360)+SUMIFS(PRODUCTION_REPORT!K:K,PRODUCTION_REPORT!J:J,A360)+SUMIFS(PRODUCTION_REPORT!M:M,PRODUCTION_REPORT!L:L,A360)+SUMIFS(PRODUCTION_REPORT!O:O,PRODUCTION_REPORT!N:N,A360))</f>
        <v/>
      </c>
      <c r="E360" t="str">
        <f t="shared" si="10"/>
        <v/>
      </c>
      <c r="F360" t="str">
        <f>IF(A360="","",_xludf.XLOOKUP(A360,MASTER_RAW_MATERIALS!B:B,MASTER_RAW_MATERIALS!E:E,0))</f>
        <v/>
      </c>
      <c r="G360" t="str">
        <f t="shared" si="11"/>
        <v/>
      </c>
    </row>
    <row r="361" spans="1:7" x14ac:dyDescent="0.2">
      <c r="A361" t="str">
        <f>IF(MASTER_RAW_MATERIALS!B361="","",MASTER_RAW_MATERIALS!B361)</f>
        <v/>
      </c>
      <c r="B361" t="str">
        <f>IF(A361="","",MASTER_RAW_MATERIALS!D361)</f>
        <v/>
      </c>
      <c r="C361" t="str">
        <f>IF(A361="","",SUMIFS(PURCHASES!E:E,PURCHASES!D:D,A361))</f>
        <v/>
      </c>
      <c r="D361" t="str">
        <f>IF(A361="","",SUMIFS(PRODUCTION_REPORT!E:E,PRODUCTION_REPORT!D:D,A361)+SUMIFS(PRODUCTION_REPORT!G:G,PRODUCTION_REPORT!F:F,A361)+SUMIFS(PRODUCTION_REPORT!I:I,PRODUCTION_REPORT!H:H,A361)+SUMIFS(PRODUCTION_REPORT!K:K,PRODUCTION_REPORT!J:J,A361)+SUMIFS(PRODUCTION_REPORT!M:M,PRODUCTION_REPORT!L:L,A361)+SUMIFS(PRODUCTION_REPORT!O:O,PRODUCTION_REPORT!N:N,A361))</f>
        <v/>
      </c>
      <c r="E361" t="str">
        <f t="shared" si="10"/>
        <v/>
      </c>
      <c r="F361" t="str">
        <f>IF(A361="","",_xludf.XLOOKUP(A361,MASTER_RAW_MATERIALS!B:B,MASTER_RAW_MATERIALS!E:E,0))</f>
        <v/>
      </c>
      <c r="G361" t="str">
        <f t="shared" si="11"/>
        <v/>
      </c>
    </row>
    <row r="362" spans="1:7" x14ac:dyDescent="0.2">
      <c r="A362" t="str">
        <f>IF(MASTER_RAW_MATERIALS!B362="","",MASTER_RAW_MATERIALS!B362)</f>
        <v/>
      </c>
      <c r="B362" t="str">
        <f>IF(A362="","",MASTER_RAW_MATERIALS!D362)</f>
        <v/>
      </c>
      <c r="C362" t="str">
        <f>IF(A362="","",SUMIFS(PURCHASES!E:E,PURCHASES!D:D,A362))</f>
        <v/>
      </c>
      <c r="D362" t="str">
        <f>IF(A362="","",SUMIFS(PRODUCTION_REPORT!E:E,PRODUCTION_REPORT!D:D,A362)+SUMIFS(PRODUCTION_REPORT!G:G,PRODUCTION_REPORT!F:F,A362)+SUMIFS(PRODUCTION_REPORT!I:I,PRODUCTION_REPORT!H:H,A362)+SUMIFS(PRODUCTION_REPORT!K:K,PRODUCTION_REPORT!J:J,A362)+SUMIFS(PRODUCTION_REPORT!M:M,PRODUCTION_REPORT!L:L,A362)+SUMIFS(PRODUCTION_REPORT!O:O,PRODUCTION_REPORT!N:N,A362))</f>
        <v/>
      </c>
      <c r="E362" t="str">
        <f t="shared" si="10"/>
        <v/>
      </c>
      <c r="F362" t="str">
        <f>IF(A362="","",_xludf.XLOOKUP(A362,MASTER_RAW_MATERIALS!B:B,MASTER_RAW_MATERIALS!E:E,0))</f>
        <v/>
      </c>
      <c r="G362" t="str">
        <f t="shared" si="11"/>
        <v/>
      </c>
    </row>
    <row r="363" spans="1:7" x14ac:dyDescent="0.2">
      <c r="A363" t="str">
        <f>IF(MASTER_RAW_MATERIALS!B363="","",MASTER_RAW_MATERIALS!B363)</f>
        <v/>
      </c>
      <c r="B363" t="str">
        <f>IF(A363="","",MASTER_RAW_MATERIALS!D363)</f>
        <v/>
      </c>
      <c r="C363" t="str">
        <f>IF(A363="","",SUMIFS(PURCHASES!E:E,PURCHASES!D:D,A363))</f>
        <v/>
      </c>
      <c r="D363" t="str">
        <f>IF(A363="","",SUMIFS(PRODUCTION_REPORT!E:E,PRODUCTION_REPORT!D:D,A363)+SUMIFS(PRODUCTION_REPORT!G:G,PRODUCTION_REPORT!F:F,A363)+SUMIFS(PRODUCTION_REPORT!I:I,PRODUCTION_REPORT!H:H,A363)+SUMIFS(PRODUCTION_REPORT!K:K,PRODUCTION_REPORT!J:J,A363)+SUMIFS(PRODUCTION_REPORT!M:M,PRODUCTION_REPORT!L:L,A363)+SUMIFS(PRODUCTION_REPORT!O:O,PRODUCTION_REPORT!N:N,A363))</f>
        <v/>
      </c>
      <c r="E363" t="str">
        <f t="shared" si="10"/>
        <v/>
      </c>
      <c r="F363" t="str">
        <f>IF(A363="","",_xludf.XLOOKUP(A363,MASTER_RAW_MATERIALS!B:B,MASTER_RAW_MATERIALS!E:E,0))</f>
        <v/>
      </c>
      <c r="G363" t="str">
        <f t="shared" si="11"/>
        <v/>
      </c>
    </row>
    <row r="364" spans="1:7" x14ac:dyDescent="0.2">
      <c r="A364" t="str">
        <f>IF(MASTER_RAW_MATERIALS!B364="","",MASTER_RAW_MATERIALS!B364)</f>
        <v/>
      </c>
      <c r="B364" t="str">
        <f>IF(A364="","",MASTER_RAW_MATERIALS!D364)</f>
        <v/>
      </c>
      <c r="C364" t="str">
        <f>IF(A364="","",SUMIFS(PURCHASES!E:E,PURCHASES!D:D,A364))</f>
        <v/>
      </c>
      <c r="D364" t="str">
        <f>IF(A364="","",SUMIFS(PRODUCTION_REPORT!E:E,PRODUCTION_REPORT!D:D,A364)+SUMIFS(PRODUCTION_REPORT!G:G,PRODUCTION_REPORT!F:F,A364)+SUMIFS(PRODUCTION_REPORT!I:I,PRODUCTION_REPORT!H:H,A364)+SUMIFS(PRODUCTION_REPORT!K:K,PRODUCTION_REPORT!J:J,A364)+SUMIFS(PRODUCTION_REPORT!M:M,PRODUCTION_REPORT!L:L,A364)+SUMIFS(PRODUCTION_REPORT!O:O,PRODUCTION_REPORT!N:N,A364))</f>
        <v/>
      </c>
      <c r="E364" t="str">
        <f t="shared" si="10"/>
        <v/>
      </c>
      <c r="F364" t="str">
        <f>IF(A364="","",_xludf.XLOOKUP(A364,MASTER_RAW_MATERIALS!B:B,MASTER_RAW_MATERIALS!E:E,0))</f>
        <v/>
      </c>
      <c r="G364" t="str">
        <f t="shared" si="11"/>
        <v/>
      </c>
    </row>
    <row r="365" spans="1:7" x14ac:dyDescent="0.2">
      <c r="A365" t="str">
        <f>IF(MASTER_RAW_MATERIALS!B365="","",MASTER_RAW_MATERIALS!B365)</f>
        <v/>
      </c>
      <c r="B365" t="str">
        <f>IF(A365="","",MASTER_RAW_MATERIALS!D365)</f>
        <v/>
      </c>
      <c r="C365" t="str">
        <f>IF(A365="","",SUMIFS(PURCHASES!E:E,PURCHASES!D:D,A365))</f>
        <v/>
      </c>
      <c r="D365" t="str">
        <f>IF(A365="","",SUMIFS(PRODUCTION_REPORT!E:E,PRODUCTION_REPORT!D:D,A365)+SUMIFS(PRODUCTION_REPORT!G:G,PRODUCTION_REPORT!F:F,A365)+SUMIFS(PRODUCTION_REPORT!I:I,PRODUCTION_REPORT!H:H,A365)+SUMIFS(PRODUCTION_REPORT!K:K,PRODUCTION_REPORT!J:J,A365)+SUMIFS(PRODUCTION_REPORT!M:M,PRODUCTION_REPORT!L:L,A365)+SUMIFS(PRODUCTION_REPORT!O:O,PRODUCTION_REPORT!N:N,A365))</f>
        <v/>
      </c>
      <c r="E365" t="str">
        <f t="shared" si="10"/>
        <v/>
      </c>
      <c r="F365" t="str">
        <f>IF(A365="","",_xludf.XLOOKUP(A365,MASTER_RAW_MATERIALS!B:B,MASTER_RAW_MATERIALS!E:E,0))</f>
        <v/>
      </c>
      <c r="G365" t="str">
        <f t="shared" si="11"/>
        <v/>
      </c>
    </row>
    <row r="366" spans="1:7" x14ac:dyDescent="0.2">
      <c r="A366" t="str">
        <f>IF(MASTER_RAW_MATERIALS!B366="","",MASTER_RAW_MATERIALS!B366)</f>
        <v/>
      </c>
      <c r="B366" t="str">
        <f>IF(A366="","",MASTER_RAW_MATERIALS!D366)</f>
        <v/>
      </c>
      <c r="C366" t="str">
        <f>IF(A366="","",SUMIFS(PURCHASES!E:E,PURCHASES!D:D,A366))</f>
        <v/>
      </c>
      <c r="D366" t="str">
        <f>IF(A366="","",SUMIFS(PRODUCTION_REPORT!E:E,PRODUCTION_REPORT!D:D,A366)+SUMIFS(PRODUCTION_REPORT!G:G,PRODUCTION_REPORT!F:F,A366)+SUMIFS(PRODUCTION_REPORT!I:I,PRODUCTION_REPORT!H:H,A366)+SUMIFS(PRODUCTION_REPORT!K:K,PRODUCTION_REPORT!J:J,A366)+SUMIFS(PRODUCTION_REPORT!M:M,PRODUCTION_REPORT!L:L,A366)+SUMIFS(PRODUCTION_REPORT!O:O,PRODUCTION_REPORT!N:N,A366))</f>
        <v/>
      </c>
      <c r="E366" t="str">
        <f t="shared" si="10"/>
        <v/>
      </c>
      <c r="F366" t="str">
        <f>IF(A366="","",_xludf.XLOOKUP(A366,MASTER_RAW_MATERIALS!B:B,MASTER_RAW_MATERIALS!E:E,0))</f>
        <v/>
      </c>
      <c r="G366" t="str">
        <f t="shared" si="11"/>
        <v/>
      </c>
    </row>
    <row r="367" spans="1:7" x14ac:dyDescent="0.2">
      <c r="A367" t="str">
        <f>IF(MASTER_RAW_MATERIALS!B367="","",MASTER_RAW_MATERIALS!B367)</f>
        <v/>
      </c>
      <c r="B367" t="str">
        <f>IF(A367="","",MASTER_RAW_MATERIALS!D367)</f>
        <v/>
      </c>
      <c r="C367" t="str">
        <f>IF(A367="","",SUMIFS(PURCHASES!E:E,PURCHASES!D:D,A367))</f>
        <v/>
      </c>
      <c r="D367" t="str">
        <f>IF(A367="","",SUMIFS(PRODUCTION_REPORT!E:E,PRODUCTION_REPORT!D:D,A367)+SUMIFS(PRODUCTION_REPORT!G:G,PRODUCTION_REPORT!F:F,A367)+SUMIFS(PRODUCTION_REPORT!I:I,PRODUCTION_REPORT!H:H,A367)+SUMIFS(PRODUCTION_REPORT!K:K,PRODUCTION_REPORT!J:J,A367)+SUMIFS(PRODUCTION_REPORT!M:M,PRODUCTION_REPORT!L:L,A367)+SUMIFS(PRODUCTION_REPORT!O:O,PRODUCTION_REPORT!N:N,A367))</f>
        <v/>
      </c>
      <c r="E367" t="str">
        <f t="shared" si="10"/>
        <v/>
      </c>
      <c r="F367" t="str">
        <f>IF(A367="","",_xludf.XLOOKUP(A367,MASTER_RAW_MATERIALS!B:B,MASTER_RAW_MATERIALS!E:E,0))</f>
        <v/>
      </c>
      <c r="G367" t="str">
        <f t="shared" si="11"/>
        <v/>
      </c>
    </row>
    <row r="368" spans="1:7" x14ac:dyDescent="0.2">
      <c r="A368" t="str">
        <f>IF(MASTER_RAW_MATERIALS!B368="","",MASTER_RAW_MATERIALS!B368)</f>
        <v/>
      </c>
      <c r="B368" t="str">
        <f>IF(A368="","",MASTER_RAW_MATERIALS!D368)</f>
        <v/>
      </c>
      <c r="C368" t="str">
        <f>IF(A368="","",SUMIFS(PURCHASES!E:E,PURCHASES!D:D,A368))</f>
        <v/>
      </c>
      <c r="D368" t="str">
        <f>IF(A368="","",SUMIFS(PRODUCTION_REPORT!E:E,PRODUCTION_REPORT!D:D,A368)+SUMIFS(PRODUCTION_REPORT!G:G,PRODUCTION_REPORT!F:F,A368)+SUMIFS(PRODUCTION_REPORT!I:I,PRODUCTION_REPORT!H:H,A368)+SUMIFS(PRODUCTION_REPORT!K:K,PRODUCTION_REPORT!J:J,A368)+SUMIFS(PRODUCTION_REPORT!M:M,PRODUCTION_REPORT!L:L,A368)+SUMIFS(PRODUCTION_REPORT!O:O,PRODUCTION_REPORT!N:N,A368))</f>
        <v/>
      </c>
      <c r="E368" t="str">
        <f t="shared" si="10"/>
        <v/>
      </c>
      <c r="F368" t="str">
        <f>IF(A368="","",_xludf.XLOOKUP(A368,MASTER_RAW_MATERIALS!B:B,MASTER_RAW_MATERIALS!E:E,0))</f>
        <v/>
      </c>
      <c r="G368" t="str">
        <f t="shared" si="11"/>
        <v/>
      </c>
    </row>
    <row r="369" spans="1:7" x14ac:dyDescent="0.2">
      <c r="A369" t="str">
        <f>IF(MASTER_RAW_MATERIALS!B369="","",MASTER_RAW_MATERIALS!B369)</f>
        <v/>
      </c>
      <c r="B369" t="str">
        <f>IF(A369="","",MASTER_RAW_MATERIALS!D369)</f>
        <v/>
      </c>
      <c r="C369" t="str">
        <f>IF(A369="","",SUMIFS(PURCHASES!E:E,PURCHASES!D:D,A369))</f>
        <v/>
      </c>
      <c r="D369" t="str">
        <f>IF(A369="","",SUMIFS(PRODUCTION_REPORT!E:E,PRODUCTION_REPORT!D:D,A369)+SUMIFS(PRODUCTION_REPORT!G:G,PRODUCTION_REPORT!F:F,A369)+SUMIFS(PRODUCTION_REPORT!I:I,PRODUCTION_REPORT!H:H,A369)+SUMIFS(PRODUCTION_REPORT!K:K,PRODUCTION_REPORT!J:J,A369)+SUMIFS(PRODUCTION_REPORT!M:M,PRODUCTION_REPORT!L:L,A369)+SUMIFS(PRODUCTION_REPORT!O:O,PRODUCTION_REPORT!N:N,A369))</f>
        <v/>
      </c>
      <c r="E369" t="str">
        <f t="shared" si="10"/>
        <v/>
      </c>
      <c r="F369" t="str">
        <f>IF(A369="","",_xludf.XLOOKUP(A369,MASTER_RAW_MATERIALS!B:B,MASTER_RAW_MATERIALS!E:E,0))</f>
        <v/>
      </c>
      <c r="G369" t="str">
        <f t="shared" si="11"/>
        <v/>
      </c>
    </row>
    <row r="370" spans="1:7" x14ac:dyDescent="0.2">
      <c r="A370" t="str">
        <f>IF(MASTER_RAW_MATERIALS!B370="","",MASTER_RAW_MATERIALS!B370)</f>
        <v/>
      </c>
      <c r="B370" t="str">
        <f>IF(A370="","",MASTER_RAW_MATERIALS!D370)</f>
        <v/>
      </c>
      <c r="C370" t="str">
        <f>IF(A370="","",SUMIFS(PURCHASES!E:E,PURCHASES!D:D,A370))</f>
        <v/>
      </c>
      <c r="D370" t="str">
        <f>IF(A370="","",SUMIFS(PRODUCTION_REPORT!E:E,PRODUCTION_REPORT!D:D,A370)+SUMIFS(PRODUCTION_REPORT!G:G,PRODUCTION_REPORT!F:F,A370)+SUMIFS(PRODUCTION_REPORT!I:I,PRODUCTION_REPORT!H:H,A370)+SUMIFS(PRODUCTION_REPORT!K:K,PRODUCTION_REPORT!J:J,A370)+SUMIFS(PRODUCTION_REPORT!M:M,PRODUCTION_REPORT!L:L,A370)+SUMIFS(PRODUCTION_REPORT!O:O,PRODUCTION_REPORT!N:N,A370))</f>
        <v/>
      </c>
      <c r="E370" t="str">
        <f t="shared" si="10"/>
        <v/>
      </c>
      <c r="F370" t="str">
        <f>IF(A370="","",_xludf.XLOOKUP(A370,MASTER_RAW_MATERIALS!B:B,MASTER_RAW_MATERIALS!E:E,0))</f>
        <v/>
      </c>
      <c r="G370" t="str">
        <f t="shared" si="11"/>
        <v/>
      </c>
    </row>
    <row r="371" spans="1:7" x14ac:dyDescent="0.2">
      <c r="A371" t="str">
        <f>IF(MASTER_RAW_MATERIALS!B371="","",MASTER_RAW_MATERIALS!B371)</f>
        <v/>
      </c>
      <c r="B371" t="str">
        <f>IF(A371="","",MASTER_RAW_MATERIALS!D371)</f>
        <v/>
      </c>
      <c r="C371" t="str">
        <f>IF(A371="","",SUMIFS(PURCHASES!E:E,PURCHASES!D:D,A371))</f>
        <v/>
      </c>
      <c r="D371" t="str">
        <f>IF(A371="","",SUMIFS(PRODUCTION_REPORT!E:E,PRODUCTION_REPORT!D:D,A371)+SUMIFS(PRODUCTION_REPORT!G:G,PRODUCTION_REPORT!F:F,A371)+SUMIFS(PRODUCTION_REPORT!I:I,PRODUCTION_REPORT!H:H,A371)+SUMIFS(PRODUCTION_REPORT!K:K,PRODUCTION_REPORT!J:J,A371)+SUMIFS(PRODUCTION_REPORT!M:M,PRODUCTION_REPORT!L:L,A371)+SUMIFS(PRODUCTION_REPORT!O:O,PRODUCTION_REPORT!N:N,A371))</f>
        <v/>
      </c>
      <c r="E371" t="str">
        <f t="shared" si="10"/>
        <v/>
      </c>
      <c r="F371" t="str">
        <f>IF(A371="","",_xludf.XLOOKUP(A371,MASTER_RAW_MATERIALS!B:B,MASTER_RAW_MATERIALS!E:E,0))</f>
        <v/>
      </c>
      <c r="G371" t="str">
        <f t="shared" si="11"/>
        <v/>
      </c>
    </row>
    <row r="372" spans="1:7" x14ac:dyDescent="0.2">
      <c r="A372" t="str">
        <f>IF(MASTER_RAW_MATERIALS!B372="","",MASTER_RAW_MATERIALS!B372)</f>
        <v/>
      </c>
      <c r="B372" t="str">
        <f>IF(A372="","",MASTER_RAW_MATERIALS!D372)</f>
        <v/>
      </c>
      <c r="C372" t="str">
        <f>IF(A372="","",SUMIFS(PURCHASES!E:E,PURCHASES!D:D,A372))</f>
        <v/>
      </c>
      <c r="D372" t="str">
        <f>IF(A372="","",SUMIFS(PRODUCTION_REPORT!E:E,PRODUCTION_REPORT!D:D,A372)+SUMIFS(PRODUCTION_REPORT!G:G,PRODUCTION_REPORT!F:F,A372)+SUMIFS(PRODUCTION_REPORT!I:I,PRODUCTION_REPORT!H:H,A372)+SUMIFS(PRODUCTION_REPORT!K:K,PRODUCTION_REPORT!J:J,A372)+SUMIFS(PRODUCTION_REPORT!M:M,PRODUCTION_REPORT!L:L,A372)+SUMIFS(PRODUCTION_REPORT!O:O,PRODUCTION_REPORT!N:N,A372))</f>
        <v/>
      </c>
      <c r="E372" t="str">
        <f t="shared" si="10"/>
        <v/>
      </c>
      <c r="F372" t="str">
        <f>IF(A372="","",_xludf.XLOOKUP(A372,MASTER_RAW_MATERIALS!B:B,MASTER_RAW_MATERIALS!E:E,0))</f>
        <v/>
      </c>
      <c r="G372" t="str">
        <f t="shared" si="11"/>
        <v/>
      </c>
    </row>
    <row r="373" spans="1:7" x14ac:dyDescent="0.2">
      <c r="A373" t="str">
        <f>IF(MASTER_RAW_MATERIALS!B373="","",MASTER_RAW_MATERIALS!B373)</f>
        <v/>
      </c>
      <c r="B373" t="str">
        <f>IF(A373="","",MASTER_RAW_MATERIALS!D373)</f>
        <v/>
      </c>
      <c r="C373" t="str">
        <f>IF(A373="","",SUMIFS(PURCHASES!E:E,PURCHASES!D:D,A373))</f>
        <v/>
      </c>
      <c r="D373" t="str">
        <f>IF(A373="","",SUMIFS(PRODUCTION_REPORT!E:E,PRODUCTION_REPORT!D:D,A373)+SUMIFS(PRODUCTION_REPORT!G:G,PRODUCTION_REPORT!F:F,A373)+SUMIFS(PRODUCTION_REPORT!I:I,PRODUCTION_REPORT!H:H,A373)+SUMIFS(PRODUCTION_REPORT!K:K,PRODUCTION_REPORT!J:J,A373)+SUMIFS(PRODUCTION_REPORT!M:M,PRODUCTION_REPORT!L:L,A373)+SUMIFS(PRODUCTION_REPORT!O:O,PRODUCTION_REPORT!N:N,A373))</f>
        <v/>
      </c>
      <c r="E373" t="str">
        <f t="shared" si="10"/>
        <v/>
      </c>
      <c r="F373" t="str">
        <f>IF(A373="","",_xludf.XLOOKUP(A373,MASTER_RAW_MATERIALS!B:B,MASTER_RAW_MATERIALS!E:E,0))</f>
        <v/>
      </c>
      <c r="G373" t="str">
        <f t="shared" si="11"/>
        <v/>
      </c>
    </row>
    <row r="374" spans="1:7" x14ac:dyDescent="0.2">
      <c r="A374" t="str">
        <f>IF(MASTER_RAW_MATERIALS!B374="","",MASTER_RAW_MATERIALS!B374)</f>
        <v/>
      </c>
      <c r="B374" t="str">
        <f>IF(A374="","",MASTER_RAW_MATERIALS!D374)</f>
        <v/>
      </c>
      <c r="C374" t="str">
        <f>IF(A374="","",SUMIFS(PURCHASES!E:E,PURCHASES!D:D,A374))</f>
        <v/>
      </c>
      <c r="D374" t="str">
        <f>IF(A374="","",SUMIFS(PRODUCTION_REPORT!E:E,PRODUCTION_REPORT!D:D,A374)+SUMIFS(PRODUCTION_REPORT!G:G,PRODUCTION_REPORT!F:F,A374)+SUMIFS(PRODUCTION_REPORT!I:I,PRODUCTION_REPORT!H:H,A374)+SUMIFS(PRODUCTION_REPORT!K:K,PRODUCTION_REPORT!J:J,A374)+SUMIFS(PRODUCTION_REPORT!M:M,PRODUCTION_REPORT!L:L,A374)+SUMIFS(PRODUCTION_REPORT!O:O,PRODUCTION_REPORT!N:N,A374))</f>
        <v/>
      </c>
      <c r="E374" t="str">
        <f t="shared" si="10"/>
        <v/>
      </c>
      <c r="F374" t="str">
        <f>IF(A374="","",_xludf.XLOOKUP(A374,MASTER_RAW_MATERIALS!B:B,MASTER_RAW_MATERIALS!E:E,0))</f>
        <v/>
      </c>
      <c r="G374" t="str">
        <f t="shared" si="11"/>
        <v/>
      </c>
    </row>
    <row r="375" spans="1:7" x14ac:dyDescent="0.2">
      <c r="A375" t="str">
        <f>IF(MASTER_RAW_MATERIALS!B375="","",MASTER_RAW_MATERIALS!B375)</f>
        <v/>
      </c>
      <c r="B375" t="str">
        <f>IF(A375="","",MASTER_RAW_MATERIALS!D375)</f>
        <v/>
      </c>
      <c r="C375" t="str">
        <f>IF(A375="","",SUMIFS(PURCHASES!E:E,PURCHASES!D:D,A375))</f>
        <v/>
      </c>
      <c r="D375" t="str">
        <f>IF(A375="","",SUMIFS(PRODUCTION_REPORT!E:E,PRODUCTION_REPORT!D:D,A375)+SUMIFS(PRODUCTION_REPORT!G:G,PRODUCTION_REPORT!F:F,A375)+SUMIFS(PRODUCTION_REPORT!I:I,PRODUCTION_REPORT!H:H,A375)+SUMIFS(PRODUCTION_REPORT!K:K,PRODUCTION_REPORT!J:J,A375)+SUMIFS(PRODUCTION_REPORT!M:M,PRODUCTION_REPORT!L:L,A375)+SUMIFS(PRODUCTION_REPORT!O:O,PRODUCTION_REPORT!N:N,A375))</f>
        <v/>
      </c>
      <c r="E375" t="str">
        <f t="shared" si="10"/>
        <v/>
      </c>
      <c r="F375" t="str">
        <f>IF(A375="","",_xludf.XLOOKUP(A375,MASTER_RAW_MATERIALS!B:B,MASTER_RAW_MATERIALS!E:E,0))</f>
        <v/>
      </c>
      <c r="G375" t="str">
        <f t="shared" si="11"/>
        <v/>
      </c>
    </row>
    <row r="376" spans="1:7" x14ac:dyDescent="0.2">
      <c r="A376" t="str">
        <f>IF(MASTER_RAW_MATERIALS!B376="","",MASTER_RAW_MATERIALS!B376)</f>
        <v/>
      </c>
      <c r="B376" t="str">
        <f>IF(A376="","",MASTER_RAW_MATERIALS!D376)</f>
        <v/>
      </c>
      <c r="C376" t="str">
        <f>IF(A376="","",SUMIFS(PURCHASES!E:E,PURCHASES!D:D,A376))</f>
        <v/>
      </c>
      <c r="D376" t="str">
        <f>IF(A376="","",SUMIFS(PRODUCTION_REPORT!E:E,PRODUCTION_REPORT!D:D,A376)+SUMIFS(PRODUCTION_REPORT!G:G,PRODUCTION_REPORT!F:F,A376)+SUMIFS(PRODUCTION_REPORT!I:I,PRODUCTION_REPORT!H:H,A376)+SUMIFS(PRODUCTION_REPORT!K:K,PRODUCTION_REPORT!J:J,A376)+SUMIFS(PRODUCTION_REPORT!M:M,PRODUCTION_REPORT!L:L,A376)+SUMIFS(PRODUCTION_REPORT!O:O,PRODUCTION_REPORT!N:N,A376))</f>
        <v/>
      </c>
      <c r="E376" t="str">
        <f t="shared" si="10"/>
        <v/>
      </c>
      <c r="F376" t="str">
        <f>IF(A376="","",_xludf.XLOOKUP(A376,MASTER_RAW_MATERIALS!B:B,MASTER_RAW_MATERIALS!E:E,0))</f>
        <v/>
      </c>
      <c r="G376" t="str">
        <f t="shared" si="11"/>
        <v/>
      </c>
    </row>
    <row r="377" spans="1:7" x14ac:dyDescent="0.2">
      <c r="A377" t="str">
        <f>IF(MASTER_RAW_MATERIALS!B377="","",MASTER_RAW_MATERIALS!B377)</f>
        <v/>
      </c>
      <c r="B377" t="str">
        <f>IF(A377="","",MASTER_RAW_MATERIALS!D377)</f>
        <v/>
      </c>
      <c r="C377" t="str">
        <f>IF(A377="","",SUMIFS(PURCHASES!E:E,PURCHASES!D:D,A377))</f>
        <v/>
      </c>
      <c r="D377" t="str">
        <f>IF(A377="","",SUMIFS(PRODUCTION_REPORT!E:E,PRODUCTION_REPORT!D:D,A377)+SUMIFS(PRODUCTION_REPORT!G:G,PRODUCTION_REPORT!F:F,A377)+SUMIFS(PRODUCTION_REPORT!I:I,PRODUCTION_REPORT!H:H,A377)+SUMIFS(PRODUCTION_REPORT!K:K,PRODUCTION_REPORT!J:J,A377)+SUMIFS(PRODUCTION_REPORT!M:M,PRODUCTION_REPORT!L:L,A377)+SUMIFS(PRODUCTION_REPORT!O:O,PRODUCTION_REPORT!N:N,A377))</f>
        <v/>
      </c>
      <c r="E377" t="str">
        <f t="shared" si="10"/>
        <v/>
      </c>
      <c r="F377" t="str">
        <f>IF(A377="","",_xludf.XLOOKUP(A377,MASTER_RAW_MATERIALS!B:B,MASTER_RAW_MATERIALS!E:E,0))</f>
        <v/>
      </c>
      <c r="G377" t="str">
        <f t="shared" si="11"/>
        <v/>
      </c>
    </row>
    <row r="378" spans="1:7" x14ac:dyDescent="0.2">
      <c r="A378" t="str">
        <f>IF(MASTER_RAW_MATERIALS!B378="","",MASTER_RAW_MATERIALS!B378)</f>
        <v/>
      </c>
      <c r="B378" t="str">
        <f>IF(A378="","",MASTER_RAW_MATERIALS!D378)</f>
        <v/>
      </c>
      <c r="C378" t="str">
        <f>IF(A378="","",SUMIFS(PURCHASES!E:E,PURCHASES!D:D,A378))</f>
        <v/>
      </c>
      <c r="D378" t="str">
        <f>IF(A378="","",SUMIFS(PRODUCTION_REPORT!E:E,PRODUCTION_REPORT!D:D,A378)+SUMIFS(PRODUCTION_REPORT!G:G,PRODUCTION_REPORT!F:F,A378)+SUMIFS(PRODUCTION_REPORT!I:I,PRODUCTION_REPORT!H:H,A378)+SUMIFS(PRODUCTION_REPORT!K:K,PRODUCTION_REPORT!J:J,A378)+SUMIFS(PRODUCTION_REPORT!M:M,PRODUCTION_REPORT!L:L,A378)+SUMIFS(PRODUCTION_REPORT!O:O,PRODUCTION_REPORT!N:N,A378))</f>
        <v/>
      </c>
      <c r="E378" t="str">
        <f t="shared" si="10"/>
        <v/>
      </c>
      <c r="F378" t="str">
        <f>IF(A378="","",_xludf.XLOOKUP(A378,MASTER_RAW_MATERIALS!B:B,MASTER_RAW_MATERIALS!E:E,0))</f>
        <v/>
      </c>
      <c r="G378" t="str">
        <f t="shared" si="11"/>
        <v/>
      </c>
    </row>
    <row r="379" spans="1:7" x14ac:dyDescent="0.2">
      <c r="A379" t="str">
        <f>IF(MASTER_RAW_MATERIALS!B379="","",MASTER_RAW_MATERIALS!B379)</f>
        <v/>
      </c>
      <c r="B379" t="str">
        <f>IF(A379="","",MASTER_RAW_MATERIALS!D379)</f>
        <v/>
      </c>
      <c r="C379" t="str">
        <f>IF(A379="","",SUMIFS(PURCHASES!E:E,PURCHASES!D:D,A379))</f>
        <v/>
      </c>
      <c r="D379" t="str">
        <f>IF(A379="","",SUMIFS(PRODUCTION_REPORT!E:E,PRODUCTION_REPORT!D:D,A379)+SUMIFS(PRODUCTION_REPORT!G:G,PRODUCTION_REPORT!F:F,A379)+SUMIFS(PRODUCTION_REPORT!I:I,PRODUCTION_REPORT!H:H,A379)+SUMIFS(PRODUCTION_REPORT!K:K,PRODUCTION_REPORT!J:J,A379)+SUMIFS(PRODUCTION_REPORT!M:M,PRODUCTION_REPORT!L:L,A379)+SUMIFS(PRODUCTION_REPORT!O:O,PRODUCTION_REPORT!N:N,A379))</f>
        <v/>
      </c>
      <c r="E379" t="str">
        <f t="shared" si="10"/>
        <v/>
      </c>
      <c r="F379" t="str">
        <f>IF(A379="","",_xludf.XLOOKUP(A379,MASTER_RAW_MATERIALS!B:B,MASTER_RAW_MATERIALS!E:E,0))</f>
        <v/>
      </c>
      <c r="G379" t="str">
        <f t="shared" si="11"/>
        <v/>
      </c>
    </row>
    <row r="380" spans="1:7" x14ac:dyDescent="0.2">
      <c r="A380" t="str">
        <f>IF(MASTER_RAW_MATERIALS!B380="","",MASTER_RAW_MATERIALS!B380)</f>
        <v/>
      </c>
      <c r="B380" t="str">
        <f>IF(A380="","",MASTER_RAW_MATERIALS!D380)</f>
        <v/>
      </c>
      <c r="C380" t="str">
        <f>IF(A380="","",SUMIFS(PURCHASES!E:E,PURCHASES!D:D,A380))</f>
        <v/>
      </c>
      <c r="D380" t="str">
        <f>IF(A380="","",SUMIFS(PRODUCTION_REPORT!E:E,PRODUCTION_REPORT!D:D,A380)+SUMIFS(PRODUCTION_REPORT!G:G,PRODUCTION_REPORT!F:F,A380)+SUMIFS(PRODUCTION_REPORT!I:I,PRODUCTION_REPORT!H:H,A380)+SUMIFS(PRODUCTION_REPORT!K:K,PRODUCTION_REPORT!J:J,A380)+SUMIFS(PRODUCTION_REPORT!M:M,PRODUCTION_REPORT!L:L,A380)+SUMIFS(PRODUCTION_REPORT!O:O,PRODUCTION_REPORT!N:N,A380))</f>
        <v/>
      </c>
      <c r="E380" t="str">
        <f t="shared" si="10"/>
        <v/>
      </c>
      <c r="F380" t="str">
        <f>IF(A380="","",_xludf.XLOOKUP(A380,MASTER_RAW_MATERIALS!B:B,MASTER_RAW_MATERIALS!E:E,0))</f>
        <v/>
      </c>
      <c r="G380" t="str">
        <f t="shared" si="11"/>
        <v/>
      </c>
    </row>
    <row r="381" spans="1:7" x14ac:dyDescent="0.2">
      <c r="A381" t="str">
        <f>IF(MASTER_RAW_MATERIALS!B381="","",MASTER_RAW_MATERIALS!B381)</f>
        <v/>
      </c>
      <c r="B381" t="str">
        <f>IF(A381="","",MASTER_RAW_MATERIALS!D381)</f>
        <v/>
      </c>
      <c r="C381" t="str">
        <f>IF(A381="","",SUMIFS(PURCHASES!E:E,PURCHASES!D:D,A381))</f>
        <v/>
      </c>
      <c r="D381" t="str">
        <f>IF(A381="","",SUMIFS(PRODUCTION_REPORT!E:E,PRODUCTION_REPORT!D:D,A381)+SUMIFS(PRODUCTION_REPORT!G:G,PRODUCTION_REPORT!F:F,A381)+SUMIFS(PRODUCTION_REPORT!I:I,PRODUCTION_REPORT!H:H,A381)+SUMIFS(PRODUCTION_REPORT!K:K,PRODUCTION_REPORT!J:J,A381)+SUMIFS(PRODUCTION_REPORT!M:M,PRODUCTION_REPORT!L:L,A381)+SUMIFS(PRODUCTION_REPORT!O:O,PRODUCTION_REPORT!N:N,A381))</f>
        <v/>
      </c>
      <c r="E381" t="str">
        <f t="shared" si="10"/>
        <v/>
      </c>
      <c r="F381" t="str">
        <f>IF(A381="","",_xludf.XLOOKUP(A381,MASTER_RAW_MATERIALS!B:B,MASTER_RAW_MATERIALS!E:E,0))</f>
        <v/>
      </c>
      <c r="G381" t="str">
        <f t="shared" si="11"/>
        <v/>
      </c>
    </row>
    <row r="382" spans="1:7" x14ac:dyDescent="0.2">
      <c r="A382" t="str">
        <f>IF(MASTER_RAW_MATERIALS!B382="","",MASTER_RAW_MATERIALS!B382)</f>
        <v/>
      </c>
      <c r="B382" t="str">
        <f>IF(A382="","",MASTER_RAW_MATERIALS!D382)</f>
        <v/>
      </c>
      <c r="C382" t="str">
        <f>IF(A382="","",SUMIFS(PURCHASES!E:E,PURCHASES!D:D,A382))</f>
        <v/>
      </c>
      <c r="D382" t="str">
        <f>IF(A382="","",SUMIFS(PRODUCTION_REPORT!E:E,PRODUCTION_REPORT!D:D,A382)+SUMIFS(PRODUCTION_REPORT!G:G,PRODUCTION_REPORT!F:F,A382)+SUMIFS(PRODUCTION_REPORT!I:I,PRODUCTION_REPORT!H:H,A382)+SUMIFS(PRODUCTION_REPORT!K:K,PRODUCTION_REPORT!J:J,A382)+SUMIFS(PRODUCTION_REPORT!M:M,PRODUCTION_REPORT!L:L,A382)+SUMIFS(PRODUCTION_REPORT!O:O,PRODUCTION_REPORT!N:N,A382))</f>
        <v/>
      </c>
      <c r="E382" t="str">
        <f t="shared" si="10"/>
        <v/>
      </c>
      <c r="F382" t="str">
        <f>IF(A382="","",_xludf.XLOOKUP(A382,MASTER_RAW_MATERIALS!B:B,MASTER_RAW_MATERIALS!E:E,0))</f>
        <v/>
      </c>
      <c r="G382" t="str">
        <f t="shared" si="11"/>
        <v/>
      </c>
    </row>
    <row r="383" spans="1:7" x14ac:dyDescent="0.2">
      <c r="A383" t="str">
        <f>IF(MASTER_RAW_MATERIALS!B383="","",MASTER_RAW_MATERIALS!B383)</f>
        <v/>
      </c>
      <c r="B383" t="str">
        <f>IF(A383="","",MASTER_RAW_MATERIALS!D383)</f>
        <v/>
      </c>
      <c r="C383" t="str">
        <f>IF(A383="","",SUMIFS(PURCHASES!E:E,PURCHASES!D:D,A383))</f>
        <v/>
      </c>
      <c r="D383" t="str">
        <f>IF(A383="","",SUMIFS(PRODUCTION_REPORT!E:E,PRODUCTION_REPORT!D:D,A383)+SUMIFS(PRODUCTION_REPORT!G:G,PRODUCTION_REPORT!F:F,A383)+SUMIFS(PRODUCTION_REPORT!I:I,PRODUCTION_REPORT!H:H,A383)+SUMIFS(PRODUCTION_REPORT!K:K,PRODUCTION_REPORT!J:J,A383)+SUMIFS(PRODUCTION_REPORT!M:M,PRODUCTION_REPORT!L:L,A383)+SUMIFS(PRODUCTION_REPORT!O:O,PRODUCTION_REPORT!N:N,A383))</f>
        <v/>
      </c>
      <c r="E383" t="str">
        <f t="shared" si="10"/>
        <v/>
      </c>
      <c r="F383" t="str">
        <f>IF(A383="","",_xludf.XLOOKUP(A383,MASTER_RAW_MATERIALS!B:B,MASTER_RAW_MATERIALS!E:E,0))</f>
        <v/>
      </c>
      <c r="G383" t="str">
        <f t="shared" si="11"/>
        <v/>
      </c>
    </row>
    <row r="384" spans="1:7" x14ac:dyDescent="0.2">
      <c r="A384" t="str">
        <f>IF(MASTER_RAW_MATERIALS!B384="","",MASTER_RAW_MATERIALS!B384)</f>
        <v/>
      </c>
      <c r="B384" t="str">
        <f>IF(A384="","",MASTER_RAW_MATERIALS!D384)</f>
        <v/>
      </c>
      <c r="C384" t="str">
        <f>IF(A384="","",SUMIFS(PURCHASES!E:E,PURCHASES!D:D,A384))</f>
        <v/>
      </c>
      <c r="D384" t="str">
        <f>IF(A384="","",SUMIFS(PRODUCTION_REPORT!E:E,PRODUCTION_REPORT!D:D,A384)+SUMIFS(PRODUCTION_REPORT!G:G,PRODUCTION_REPORT!F:F,A384)+SUMIFS(PRODUCTION_REPORT!I:I,PRODUCTION_REPORT!H:H,A384)+SUMIFS(PRODUCTION_REPORT!K:K,PRODUCTION_REPORT!J:J,A384)+SUMIFS(PRODUCTION_REPORT!M:M,PRODUCTION_REPORT!L:L,A384)+SUMIFS(PRODUCTION_REPORT!O:O,PRODUCTION_REPORT!N:N,A384))</f>
        <v/>
      </c>
      <c r="E384" t="str">
        <f t="shared" si="10"/>
        <v/>
      </c>
      <c r="F384" t="str">
        <f>IF(A384="","",_xludf.XLOOKUP(A384,MASTER_RAW_MATERIALS!B:B,MASTER_RAW_MATERIALS!E:E,0))</f>
        <v/>
      </c>
      <c r="G384" t="str">
        <f t="shared" si="11"/>
        <v/>
      </c>
    </row>
    <row r="385" spans="1:7" x14ac:dyDescent="0.2">
      <c r="A385" t="str">
        <f>IF(MASTER_RAW_MATERIALS!B385="","",MASTER_RAW_MATERIALS!B385)</f>
        <v/>
      </c>
      <c r="B385" t="str">
        <f>IF(A385="","",MASTER_RAW_MATERIALS!D385)</f>
        <v/>
      </c>
      <c r="C385" t="str">
        <f>IF(A385="","",SUMIFS(PURCHASES!E:E,PURCHASES!D:D,A385))</f>
        <v/>
      </c>
      <c r="D385" t="str">
        <f>IF(A385="","",SUMIFS(PRODUCTION_REPORT!E:E,PRODUCTION_REPORT!D:D,A385)+SUMIFS(PRODUCTION_REPORT!G:G,PRODUCTION_REPORT!F:F,A385)+SUMIFS(PRODUCTION_REPORT!I:I,PRODUCTION_REPORT!H:H,A385)+SUMIFS(PRODUCTION_REPORT!K:K,PRODUCTION_REPORT!J:J,A385)+SUMIFS(PRODUCTION_REPORT!M:M,PRODUCTION_REPORT!L:L,A385)+SUMIFS(PRODUCTION_REPORT!O:O,PRODUCTION_REPORT!N:N,A385))</f>
        <v/>
      </c>
      <c r="E385" t="str">
        <f t="shared" si="10"/>
        <v/>
      </c>
      <c r="F385" t="str">
        <f>IF(A385="","",_xludf.XLOOKUP(A385,MASTER_RAW_MATERIALS!B:B,MASTER_RAW_MATERIALS!E:E,0))</f>
        <v/>
      </c>
      <c r="G385" t="str">
        <f t="shared" si="11"/>
        <v/>
      </c>
    </row>
    <row r="386" spans="1:7" x14ac:dyDescent="0.2">
      <c r="A386" t="str">
        <f>IF(MASTER_RAW_MATERIALS!B386="","",MASTER_RAW_MATERIALS!B386)</f>
        <v/>
      </c>
      <c r="B386" t="str">
        <f>IF(A386="","",MASTER_RAW_MATERIALS!D386)</f>
        <v/>
      </c>
      <c r="C386" t="str">
        <f>IF(A386="","",SUMIFS(PURCHASES!E:E,PURCHASES!D:D,A386))</f>
        <v/>
      </c>
      <c r="D386" t="str">
        <f>IF(A386="","",SUMIFS(PRODUCTION_REPORT!E:E,PRODUCTION_REPORT!D:D,A386)+SUMIFS(PRODUCTION_REPORT!G:G,PRODUCTION_REPORT!F:F,A386)+SUMIFS(PRODUCTION_REPORT!I:I,PRODUCTION_REPORT!H:H,A386)+SUMIFS(PRODUCTION_REPORT!K:K,PRODUCTION_REPORT!J:J,A386)+SUMIFS(PRODUCTION_REPORT!M:M,PRODUCTION_REPORT!L:L,A386)+SUMIFS(PRODUCTION_REPORT!O:O,PRODUCTION_REPORT!N:N,A386))</f>
        <v/>
      </c>
      <c r="E386" t="str">
        <f t="shared" ref="E386:E449" si="12">IF(A386="","",B386+C386-D386)</f>
        <v/>
      </c>
      <c r="F386" t="str">
        <f>IF(A386="","",_xludf.XLOOKUP(A386,MASTER_RAW_MATERIALS!B:B,MASTER_RAW_MATERIALS!E:E,0))</f>
        <v/>
      </c>
      <c r="G386" t="str">
        <f t="shared" ref="G386:G449" si="13">IF(A386="","",E386*F386)</f>
        <v/>
      </c>
    </row>
    <row r="387" spans="1:7" x14ac:dyDescent="0.2">
      <c r="A387" t="str">
        <f>IF(MASTER_RAW_MATERIALS!B387="","",MASTER_RAW_MATERIALS!B387)</f>
        <v/>
      </c>
      <c r="B387" t="str">
        <f>IF(A387="","",MASTER_RAW_MATERIALS!D387)</f>
        <v/>
      </c>
      <c r="C387" t="str">
        <f>IF(A387="","",SUMIFS(PURCHASES!E:E,PURCHASES!D:D,A387))</f>
        <v/>
      </c>
      <c r="D387" t="str">
        <f>IF(A387="","",SUMIFS(PRODUCTION_REPORT!E:E,PRODUCTION_REPORT!D:D,A387)+SUMIFS(PRODUCTION_REPORT!G:G,PRODUCTION_REPORT!F:F,A387)+SUMIFS(PRODUCTION_REPORT!I:I,PRODUCTION_REPORT!H:H,A387)+SUMIFS(PRODUCTION_REPORT!K:K,PRODUCTION_REPORT!J:J,A387)+SUMIFS(PRODUCTION_REPORT!M:M,PRODUCTION_REPORT!L:L,A387)+SUMIFS(PRODUCTION_REPORT!O:O,PRODUCTION_REPORT!N:N,A387))</f>
        <v/>
      </c>
      <c r="E387" t="str">
        <f t="shared" si="12"/>
        <v/>
      </c>
      <c r="F387" t="str">
        <f>IF(A387="","",_xludf.XLOOKUP(A387,MASTER_RAW_MATERIALS!B:B,MASTER_RAW_MATERIALS!E:E,0))</f>
        <v/>
      </c>
      <c r="G387" t="str">
        <f t="shared" si="13"/>
        <v/>
      </c>
    </row>
    <row r="388" spans="1:7" x14ac:dyDescent="0.2">
      <c r="A388" t="str">
        <f>IF(MASTER_RAW_MATERIALS!B388="","",MASTER_RAW_MATERIALS!B388)</f>
        <v/>
      </c>
      <c r="B388" t="str">
        <f>IF(A388="","",MASTER_RAW_MATERIALS!D388)</f>
        <v/>
      </c>
      <c r="C388" t="str">
        <f>IF(A388="","",SUMIFS(PURCHASES!E:E,PURCHASES!D:D,A388))</f>
        <v/>
      </c>
      <c r="D388" t="str">
        <f>IF(A388="","",SUMIFS(PRODUCTION_REPORT!E:E,PRODUCTION_REPORT!D:D,A388)+SUMIFS(PRODUCTION_REPORT!G:G,PRODUCTION_REPORT!F:F,A388)+SUMIFS(PRODUCTION_REPORT!I:I,PRODUCTION_REPORT!H:H,A388)+SUMIFS(PRODUCTION_REPORT!K:K,PRODUCTION_REPORT!J:J,A388)+SUMIFS(PRODUCTION_REPORT!M:M,PRODUCTION_REPORT!L:L,A388)+SUMIFS(PRODUCTION_REPORT!O:O,PRODUCTION_REPORT!N:N,A388))</f>
        <v/>
      </c>
      <c r="E388" t="str">
        <f t="shared" si="12"/>
        <v/>
      </c>
      <c r="F388" t="str">
        <f>IF(A388="","",_xludf.XLOOKUP(A388,MASTER_RAW_MATERIALS!B:B,MASTER_RAW_MATERIALS!E:E,0))</f>
        <v/>
      </c>
      <c r="G388" t="str">
        <f t="shared" si="13"/>
        <v/>
      </c>
    </row>
    <row r="389" spans="1:7" x14ac:dyDescent="0.2">
      <c r="A389" t="str">
        <f>IF(MASTER_RAW_MATERIALS!B389="","",MASTER_RAW_MATERIALS!B389)</f>
        <v/>
      </c>
      <c r="B389" t="str">
        <f>IF(A389="","",MASTER_RAW_MATERIALS!D389)</f>
        <v/>
      </c>
      <c r="C389" t="str">
        <f>IF(A389="","",SUMIFS(PURCHASES!E:E,PURCHASES!D:D,A389))</f>
        <v/>
      </c>
      <c r="D389" t="str">
        <f>IF(A389="","",SUMIFS(PRODUCTION_REPORT!E:E,PRODUCTION_REPORT!D:D,A389)+SUMIFS(PRODUCTION_REPORT!G:G,PRODUCTION_REPORT!F:F,A389)+SUMIFS(PRODUCTION_REPORT!I:I,PRODUCTION_REPORT!H:H,A389)+SUMIFS(PRODUCTION_REPORT!K:K,PRODUCTION_REPORT!J:J,A389)+SUMIFS(PRODUCTION_REPORT!M:M,PRODUCTION_REPORT!L:L,A389)+SUMIFS(PRODUCTION_REPORT!O:O,PRODUCTION_REPORT!N:N,A389))</f>
        <v/>
      </c>
      <c r="E389" t="str">
        <f t="shared" si="12"/>
        <v/>
      </c>
      <c r="F389" t="str">
        <f>IF(A389="","",_xludf.XLOOKUP(A389,MASTER_RAW_MATERIALS!B:B,MASTER_RAW_MATERIALS!E:E,0))</f>
        <v/>
      </c>
      <c r="G389" t="str">
        <f t="shared" si="13"/>
        <v/>
      </c>
    </row>
    <row r="390" spans="1:7" x14ac:dyDescent="0.2">
      <c r="A390" t="str">
        <f>IF(MASTER_RAW_MATERIALS!B390="","",MASTER_RAW_MATERIALS!B390)</f>
        <v/>
      </c>
      <c r="B390" t="str">
        <f>IF(A390="","",MASTER_RAW_MATERIALS!D390)</f>
        <v/>
      </c>
      <c r="C390" t="str">
        <f>IF(A390="","",SUMIFS(PURCHASES!E:E,PURCHASES!D:D,A390))</f>
        <v/>
      </c>
      <c r="D390" t="str">
        <f>IF(A390="","",SUMIFS(PRODUCTION_REPORT!E:E,PRODUCTION_REPORT!D:D,A390)+SUMIFS(PRODUCTION_REPORT!G:G,PRODUCTION_REPORT!F:F,A390)+SUMIFS(PRODUCTION_REPORT!I:I,PRODUCTION_REPORT!H:H,A390)+SUMIFS(PRODUCTION_REPORT!K:K,PRODUCTION_REPORT!J:J,A390)+SUMIFS(PRODUCTION_REPORT!M:M,PRODUCTION_REPORT!L:L,A390)+SUMIFS(PRODUCTION_REPORT!O:O,PRODUCTION_REPORT!N:N,A390))</f>
        <v/>
      </c>
      <c r="E390" t="str">
        <f t="shared" si="12"/>
        <v/>
      </c>
      <c r="F390" t="str">
        <f>IF(A390="","",_xludf.XLOOKUP(A390,MASTER_RAW_MATERIALS!B:B,MASTER_RAW_MATERIALS!E:E,0))</f>
        <v/>
      </c>
      <c r="G390" t="str">
        <f t="shared" si="13"/>
        <v/>
      </c>
    </row>
    <row r="391" spans="1:7" x14ac:dyDescent="0.2">
      <c r="A391" t="str">
        <f>IF(MASTER_RAW_MATERIALS!B391="","",MASTER_RAW_MATERIALS!B391)</f>
        <v/>
      </c>
      <c r="B391" t="str">
        <f>IF(A391="","",MASTER_RAW_MATERIALS!D391)</f>
        <v/>
      </c>
      <c r="C391" t="str">
        <f>IF(A391="","",SUMIFS(PURCHASES!E:E,PURCHASES!D:D,A391))</f>
        <v/>
      </c>
      <c r="D391" t="str">
        <f>IF(A391="","",SUMIFS(PRODUCTION_REPORT!E:E,PRODUCTION_REPORT!D:D,A391)+SUMIFS(PRODUCTION_REPORT!G:G,PRODUCTION_REPORT!F:F,A391)+SUMIFS(PRODUCTION_REPORT!I:I,PRODUCTION_REPORT!H:H,A391)+SUMIFS(PRODUCTION_REPORT!K:K,PRODUCTION_REPORT!J:J,A391)+SUMIFS(PRODUCTION_REPORT!M:M,PRODUCTION_REPORT!L:L,A391)+SUMIFS(PRODUCTION_REPORT!O:O,PRODUCTION_REPORT!N:N,A391))</f>
        <v/>
      </c>
      <c r="E391" t="str">
        <f t="shared" si="12"/>
        <v/>
      </c>
      <c r="F391" t="str">
        <f>IF(A391="","",_xludf.XLOOKUP(A391,MASTER_RAW_MATERIALS!B:B,MASTER_RAW_MATERIALS!E:E,0))</f>
        <v/>
      </c>
      <c r="G391" t="str">
        <f t="shared" si="13"/>
        <v/>
      </c>
    </row>
    <row r="392" spans="1:7" x14ac:dyDescent="0.2">
      <c r="A392" t="str">
        <f>IF(MASTER_RAW_MATERIALS!B392="","",MASTER_RAW_MATERIALS!B392)</f>
        <v/>
      </c>
      <c r="B392" t="str">
        <f>IF(A392="","",MASTER_RAW_MATERIALS!D392)</f>
        <v/>
      </c>
      <c r="C392" t="str">
        <f>IF(A392="","",SUMIFS(PURCHASES!E:E,PURCHASES!D:D,A392))</f>
        <v/>
      </c>
      <c r="D392" t="str">
        <f>IF(A392="","",SUMIFS(PRODUCTION_REPORT!E:E,PRODUCTION_REPORT!D:D,A392)+SUMIFS(PRODUCTION_REPORT!G:G,PRODUCTION_REPORT!F:F,A392)+SUMIFS(PRODUCTION_REPORT!I:I,PRODUCTION_REPORT!H:H,A392)+SUMIFS(PRODUCTION_REPORT!K:K,PRODUCTION_REPORT!J:J,A392)+SUMIFS(PRODUCTION_REPORT!M:M,PRODUCTION_REPORT!L:L,A392)+SUMIFS(PRODUCTION_REPORT!O:O,PRODUCTION_REPORT!N:N,A392))</f>
        <v/>
      </c>
      <c r="E392" t="str">
        <f t="shared" si="12"/>
        <v/>
      </c>
      <c r="F392" t="str">
        <f>IF(A392="","",_xludf.XLOOKUP(A392,MASTER_RAW_MATERIALS!B:B,MASTER_RAW_MATERIALS!E:E,0))</f>
        <v/>
      </c>
      <c r="G392" t="str">
        <f t="shared" si="13"/>
        <v/>
      </c>
    </row>
    <row r="393" spans="1:7" x14ac:dyDescent="0.2">
      <c r="A393" t="str">
        <f>IF(MASTER_RAW_MATERIALS!B393="","",MASTER_RAW_MATERIALS!B393)</f>
        <v/>
      </c>
      <c r="B393" t="str">
        <f>IF(A393="","",MASTER_RAW_MATERIALS!D393)</f>
        <v/>
      </c>
      <c r="C393" t="str">
        <f>IF(A393="","",SUMIFS(PURCHASES!E:E,PURCHASES!D:D,A393))</f>
        <v/>
      </c>
      <c r="D393" t="str">
        <f>IF(A393="","",SUMIFS(PRODUCTION_REPORT!E:E,PRODUCTION_REPORT!D:D,A393)+SUMIFS(PRODUCTION_REPORT!G:G,PRODUCTION_REPORT!F:F,A393)+SUMIFS(PRODUCTION_REPORT!I:I,PRODUCTION_REPORT!H:H,A393)+SUMIFS(PRODUCTION_REPORT!K:K,PRODUCTION_REPORT!J:J,A393)+SUMIFS(PRODUCTION_REPORT!M:M,PRODUCTION_REPORT!L:L,A393)+SUMIFS(PRODUCTION_REPORT!O:O,PRODUCTION_REPORT!N:N,A393))</f>
        <v/>
      </c>
      <c r="E393" t="str">
        <f t="shared" si="12"/>
        <v/>
      </c>
      <c r="F393" t="str">
        <f>IF(A393="","",_xludf.XLOOKUP(A393,MASTER_RAW_MATERIALS!B:B,MASTER_RAW_MATERIALS!E:E,0))</f>
        <v/>
      </c>
      <c r="G393" t="str">
        <f t="shared" si="13"/>
        <v/>
      </c>
    </row>
    <row r="394" spans="1:7" x14ac:dyDescent="0.2">
      <c r="A394" t="str">
        <f>IF(MASTER_RAW_MATERIALS!B394="","",MASTER_RAW_MATERIALS!B394)</f>
        <v/>
      </c>
      <c r="B394" t="str">
        <f>IF(A394="","",MASTER_RAW_MATERIALS!D394)</f>
        <v/>
      </c>
      <c r="C394" t="str">
        <f>IF(A394="","",SUMIFS(PURCHASES!E:E,PURCHASES!D:D,A394))</f>
        <v/>
      </c>
      <c r="D394" t="str">
        <f>IF(A394="","",SUMIFS(PRODUCTION_REPORT!E:E,PRODUCTION_REPORT!D:D,A394)+SUMIFS(PRODUCTION_REPORT!G:G,PRODUCTION_REPORT!F:F,A394)+SUMIFS(PRODUCTION_REPORT!I:I,PRODUCTION_REPORT!H:H,A394)+SUMIFS(PRODUCTION_REPORT!K:K,PRODUCTION_REPORT!J:J,A394)+SUMIFS(PRODUCTION_REPORT!M:M,PRODUCTION_REPORT!L:L,A394)+SUMIFS(PRODUCTION_REPORT!O:O,PRODUCTION_REPORT!N:N,A394))</f>
        <v/>
      </c>
      <c r="E394" t="str">
        <f t="shared" si="12"/>
        <v/>
      </c>
      <c r="F394" t="str">
        <f>IF(A394="","",_xludf.XLOOKUP(A394,MASTER_RAW_MATERIALS!B:B,MASTER_RAW_MATERIALS!E:E,0))</f>
        <v/>
      </c>
      <c r="G394" t="str">
        <f t="shared" si="13"/>
        <v/>
      </c>
    </row>
    <row r="395" spans="1:7" x14ac:dyDescent="0.2">
      <c r="A395" t="str">
        <f>IF(MASTER_RAW_MATERIALS!B395="","",MASTER_RAW_MATERIALS!B395)</f>
        <v/>
      </c>
      <c r="B395" t="str">
        <f>IF(A395="","",MASTER_RAW_MATERIALS!D395)</f>
        <v/>
      </c>
      <c r="C395" t="str">
        <f>IF(A395="","",SUMIFS(PURCHASES!E:E,PURCHASES!D:D,A395))</f>
        <v/>
      </c>
      <c r="D395" t="str">
        <f>IF(A395="","",SUMIFS(PRODUCTION_REPORT!E:E,PRODUCTION_REPORT!D:D,A395)+SUMIFS(PRODUCTION_REPORT!G:G,PRODUCTION_REPORT!F:F,A395)+SUMIFS(PRODUCTION_REPORT!I:I,PRODUCTION_REPORT!H:H,A395)+SUMIFS(PRODUCTION_REPORT!K:K,PRODUCTION_REPORT!J:J,A395)+SUMIFS(PRODUCTION_REPORT!M:M,PRODUCTION_REPORT!L:L,A395)+SUMIFS(PRODUCTION_REPORT!O:O,PRODUCTION_REPORT!N:N,A395))</f>
        <v/>
      </c>
      <c r="E395" t="str">
        <f t="shared" si="12"/>
        <v/>
      </c>
      <c r="F395" t="str">
        <f>IF(A395="","",_xludf.XLOOKUP(A395,MASTER_RAW_MATERIALS!B:B,MASTER_RAW_MATERIALS!E:E,0))</f>
        <v/>
      </c>
      <c r="G395" t="str">
        <f t="shared" si="13"/>
        <v/>
      </c>
    </row>
    <row r="396" spans="1:7" x14ac:dyDescent="0.2">
      <c r="A396" t="str">
        <f>IF(MASTER_RAW_MATERIALS!B396="","",MASTER_RAW_MATERIALS!B396)</f>
        <v/>
      </c>
      <c r="B396" t="str">
        <f>IF(A396="","",MASTER_RAW_MATERIALS!D396)</f>
        <v/>
      </c>
      <c r="C396" t="str">
        <f>IF(A396="","",SUMIFS(PURCHASES!E:E,PURCHASES!D:D,A396))</f>
        <v/>
      </c>
      <c r="D396" t="str">
        <f>IF(A396="","",SUMIFS(PRODUCTION_REPORT!E:E,PRODUCTION_REPORT!D:D,A396)+SUMIFS(PRODUCTION_REPORT!G:G,PRODUCTION_REPORT!F:F,A396)+SUMIFS(PRODUCTION_REPORT!I:I,PRODUCTION_REPORT!H:H,A396)+SUMIFS(PRODUCTION_REPORT!K:K,PRODUCTION_REPORT!J:J,A396)+SUMIFS(PRODUCTION_REPORT!M:M,PRODUCTION_REPORT!L:L,A396)+SUMIFS(PRODUCTION_REPORT!O:O,PRODUCTION_REPORT!N:N,A396))</f>
        <v/>
      </c>
      <c r="E396" t="str">
        <f t="shared" si="12"/>
        <v/>
      </c>
      <c r="F396" t="str">
        <f>IF(A396="","",_xludf.XLOOKUP(A396,MASTER_RAW_MATERIALS!B:B,MASTER_RAW_MATERIALS!E:E,0))</f>
        <v/>
      </c>
      <c r="G396" t="str">
        <f t="shared" si="13"/>
        <v/>
      </c>
    </row>
    <row r="397" spans="1:7" x14ac:dyDescent="0.2">
      <c r="A397" t="str">
        <f>IF(MASTER_RAW_MATERIALS!B397="","",MASTER_RAW_MATERIALS!B397)</f>
        <v/>
      </c>
      <c r="B397" t="str">
        <f>IF(A397="","",MASTER_RAW_MATERIALS!D397)</f>
        <v/>
      </c>
      <c r="C397" t="str">
        <f>IF(A397="","",SUMIFS(PURCHASES!E:E,PURCHASES!D:D,A397))</f>
        <v/>
      </c>
      <c r="D397" t="str">
        <f>IF(A397="","",SUMIFS(PRODUCTION_REPORT!E:E,PRODUCTION_REPORT!D:D,A397)+SUMIFS(PRODUCTION_REPORT!G:G,PRODUCTION_REPORT!F:F,A397)+SUMIFS(PRODUCTION_REPORT!I:I,PRODUCTION_REPORT!H:H,A397)+SUMIFS(PRODUCTION_REPORT!K:K,PRODUCTION_REPORT!J:J,A397)+SUMIFS(PRODUCTION_REPORT!M:M,PRODUCTION_REPORT!L:L,A397)+SUMIFS(PRODUCTION_REPORT!O:O,PRODUCTION_REPORT!N:N,A397))</f>
        <v/>
      </c>
      <c r="E397" t="str">
        <f t="shared" si="12"/>
        <v/>
      </c>
      <c r="F397" t="str">
        <f>IF(A397="","",_xludf.XLOOKUP(A397,MASTER_RAW_MATERIALS!B:B,MASTER_RAW_MATERIALS!E:E,0))</f>
        <v/>
      </c>
      <c r="G397" t="str">
        <f t="shared" si="13"/>
        <v/>
      </c>
    </row>
    <row r="398" spans="1:7" x14ac:dyDescent="0.2">
      <c r="A398" t="str">
        <f>IF(MASTER_RAW_MATERIALS!B398="","",MASTER_RAW_MATERIALS!B398)</f>
        <v/>
      </c>
      <c r="B398" t="str">
        <f>IF(A398="","",MASTER_RAW_MATERIALS!D398)</f>
        <v/>
      </c>
      <c r="C398" t="str">
        <f>IF(A398="","",SUMIFS(PURCHASES!E:E,PURCHASES!D:D,A398))</f>
        <v/>
      </c>
      <c r="D398" t="str">
        <f>IF(A398="","",SUMIFS(PRODUCTION_REPORT!E:E,PRODUCTION_REPORT!D:D,A398)+SUMIFS(PRODUCTION_REPORT!G:G,PRODUCTION_REPORT!F:F,A398)+SUMIFS(PRODUCTION_REPORT!I:I,PRODUCTION_REPORT!H:H,A398)+SUMIFS(PRODUCTION_REPORT!K:K,PRODUCTION_REPORT!J:J,A398)+SUMIFS(PRODUCTION_REPORT!M:M,PRODUCTION_REPORT!L:L,A398)+SUMIFS(PRODUCTION_REPORT!O:O,PRODUCTION_REPORT!N:N,A398))</f>
        <v/>
      </c>
      <c r="E398" t="str">
        <f t="shared" si="12"/>
        <v/>
      </c>
      <c r="F398" t="str">
        <f>IF(A398="","",_xludf.XLOOKUP(A398,MASTER_RAW_MATERIALS!B:B,MASTER_RAW_MATERIALS!E:E,0))</f>
        <v/>
      </c>
      <c r="G398" t="str">
        <f t="shared" si="13"/>
        <v/>
      </c>
    </row>
    <row r="399" spans="1:7" x14ac:dyDescent="0.2">
      <c r="A399" t="str">
        <f>IF(MASTER_RAW_MATERIALS!B399="","",MASTER_RAW_MATERIALS!B399)</f>
        <v/>
      </c>
      <c r="B399" t="str">
        <f>IF(A399="","",MASTER_RAW_MATERIALS!D399)</f>
        <v/>
      </c>
      <c r="C399" t="str">
        <f>IF(A399="","",SUMIFS(PURCHASES!E:E,PURCHASES!D:D,A399))</f>
        <v/>
      </c>
      <c r="D399" t="str">
        <f>IF(A399="","",SUMIFS(PRODUCTION_REPORT!E:E,PRODUCTION_REPORT!D:D,A399)+SUMIFS(PRODUCTION_REPORT!G:G,PRODUCTION_REPORT!F:F,A399)+SUMIFS(PRODUCTION_REPORT!I:I,PRODUCTION_REPORT!H:H,A399)+SUMIFS(PRODUCTION_REPORT!K:K,PRODUCTION_REPORT!J:J,A399)+SUMIFS(PRODUCTION_REPORT!M:M,PRODUCTION_REPORT!L:L,A399)+SUMIFS(PRODUCTION_REPORT!O:O,PRODUCTION_REPORT!N:N,A399))</f>
        <v/>
      </c>
      <c r="E399" t="str">
        <f t="shared" si="12"/>
        <v/>
      </c>
      <c r="F399" t="str">
        <f>IF(A399="","",_xludf.XLOOKUP(A399,MASTER_RAW_MATERIALS!B:B,MASTER_RAW_MATERIALS!E:E,0))</f>
        <v/>
      </c>
      <c r="G399" t="str">
        <f t="shared" si="13"/>
        <v/>
      </c>
    </row>
    <row r="400" spans="1:7" x14ac:dyDescent="0.2">
      <c r="A400" t="str">
        <f>IF(MASTER_RAW_MATERIALS!B400="","",MASTER_RAW_MATERIALS!B400)</f>
        <v/>
      </c>
      <c r="B400" t="str">
        <f>IF(A400="","",MASTER_RAW_MATERIALS!D400)</f>
        <v/>
      </c>
      <c r="C400" t="str">
        <f>IF(A400="","",SUMIFS(PURCHASES!E:E,PURCHASES!D:D,A400))</f>
        <v/>
      </c>
      <c r="D400" t="str">
        <f>IF(A400="","",SUMIFS(PRODUCTION_REPORT!E:E,PRODUCTION_REPORT!D:D,A400)+SUMIFS(PRODUCTION_REPORT!G:G,PRODUCTION_REPORT!F:F,A400)+SUMIFS(PRODUCTION_REPORT!I:I,PRODUCTION_REPORT!H:H,A400)+SUMIFS(PRODUCTION_REPORT!K:K,PRODUCTION_REPORT!J:J,A400)+SUMIFS(PRODUCTION_REPORT!M:M,PRODUCTION_REPORT!L:L,A400)+SUMIFS(PRODUCTION_REPORT!O:O,PRODUCTION_REPORT!N:N,A400))</f>
        <v/>
      </c>
      <c r="E400" t="str">
        <f t="shared" si="12"/>
        <v/>
      </c>
      <c r="F400" t="str">
        <f>IF(A400="","",_xludf.XLOOKUP(A400,MASTER_RAW_MATERIALS!B:B,MASTER_RAW_MATERIALS!E:E,0))</f>
        <v/>
      </c>
      <c r="G400" t="str">
        <f t="shared" si="13"/>
        <v/>
      </c>
    </row>
    <row r="401" spans="1:7" x14ac:dyDescent="0.2">
      <c r="A401" t="str">
        <f>IF(MASTER_RAW_MATERIALS!B401="","",MASTER_RAW_MATERIALS!B401)</f>
        <v/>
      </c>
      <c r="B401" t="str">
        <f>IF(A401="","",MASTER_RAW_MATERIALS!D401)</f>
        <v/>
      </c>
      <c r="C401" t="str">
        <f>IF(A401="","",SUMIFS(PURCHASES!E:E,PURCHASES!D:D,A401))</f>
        <v/>
      </c>
      <c r="D401" t="str">
        <f>IF(A401="","",SUMIFS(PRODUCTION_REPORT!E:E,PRODUCTION_REPORT!D:D,A401)+SUMIFS(PRODUCTION_REPORT!G:G,PRODUCTION_REPORT!F:F,A401)+SUMIFS(PRODUCTION_REPORT!I:I,PRODUCTION_REPORT!H:H,A401)+SUMIFS(PRODUCTION_REPORT!K:K,PRODUCTION_REPORT!J:J,A401)+SUMIFS(PRODUCTION_REPORT!M:M,PRODUCTION_REPORT!L:L,A401)+SUMIFS(PRODUCTION_REPORT!O:O,PRODUCTION_REPORT!N:N,A401))</f>
        <v/>
      </c>
      <c r="E401" t="str">
        <f t="shared" si="12"/>
        <v/>
      </c>
      <c r="F401" t="str">
        <f>IF(A401="","",_xludf.XLOOKUP(A401,MASTER_RAW_MATERIALS!B:B,MASTER_RAW_MATERIALS!E:E,0))</f>
        <v/>
      </c>
      <c r="G401" t="str">
        <f t="shared" si="13"/>
        <v/>
      </c>
    </row>
    <row r="402" spans="1:7" x14ac:dyDescent="0.2">
      <c r="A402" t="str">
        <f>IF(MASTER_RAW_MATERIALS!B402="","",MASTER_RAW_MATERIALS!B402)</f>
        <v/>
      </c>
      <c r="B402" t="str">
        <f>IF(A402="","",MASTER_RAW_MATERIALS!D402)</f>
        <v/>
      </c>
      <c r="C402" t="str">
        <f>IF(A402="","",SUMIFS(PURCHASES!E:E,PURCHASES!D:D,A402))</f>
        <v/>
      </c>
      <c r="D402" t="str">
        <f>IF(A402="","",SUMIFS(PRODUCTION_REPORT!E:E,PRODUCTION_REPORT!D:D,A402)+SUMIFS(PRODUCTION_REPORT!G:G,PRODUCTION_REPORT!F:F,A402)+SUMIFS(PRODUCTION_REPORT!I:I,PRODUCTION_REPORT!H:H,A402)+SUMIFS(PRODUCTION_REPORT!K:K,PRODUCTION_REPORT!J:J,A402)+SUMIFS(PRODUCTION_REPORT!M:M,PRODUCTION_REPORT!L:L,A402)+SUMIFS(PRODUCTION_REPORT!O:O,PRODUCTION_REPORT!N:N,A402))</f>
        <v/>
      </c>
      <c r="E402" t="str">
        <f t="shared" si="12"/>
        <v/>
      </c>
      <c r="F402" t="str">
        <f>IF(A402="","",_xludf.XLOOKUP(A402,MASTER_RAW_MATERIALS!B:B,MASTER_RAW_MATERIALS!E:E,0))</f>
        <v/>
      </c>
      <c r="G402" t="str">
        <f t="shared" si="13"/>
        <v/>
      </c>
    </row>
    <row r="403" spans="1:7" x14ac:dyDescent="0.2">
      <c r="A403" t="str">
        <f>IF(MASTER_RAW_MATERIALS!B403="","",MASTER_RAW_MATERIALS!B403)</f>
        <v/>
      </c>
      <c r="B403" t="str">
        <f>IF(A403="","",MASTER_RAW_MATERIALS!D403)</f>
        <v/>
      </c>
      <c r="C403" t="str">
        <f>IF(A403="","",SUMIFS(PURCHASES!E:E,PURCHASES!D:D,A403))</f>
        <v/>
      </c>
      <c r="D403" t="str">
        <f>IF(A403="","",SUMIFS(PRODUCTION_REPORT!E:E,PRODUCTION_REPORT!D:D,A403)+SUMIFS(PRODUCTION_REPORT!G:G,PRODUCTION_REPORT!F:F,A403)+SUMIFS(PRODUCTION_REPORT!I:I,PRODUCTION_REPORT!H:H,A403)+SUMIFS(PRODUCTION_REPORT!K:K,PRODUCTION_REPORT!J:J,A403)+SUMIFS(PRODUCTION_REPORT!M:M,PRODUCTION_REPORT!L:L,A403)+SUMIFS(PRODUCTION_REPORT!O:O,PRODUCTION_REPORT!N:N,A403))</f>
        <v/>
      </c>
      <c r="E403" t="str">
        <f t="shared" si="12"/>
        <v/>
      </c>
      <c r="F403" t="str">
        <f>IF(A403="","",_xludf.XLOOKUP(A403,MASTER_RAW_MATERIALS!B:B,MASTER_RAW_MATERIALS!E:E,0))</f>
        <v/>
      </c>
      <c r="G403" t="str">
        <f t="shared" si="13"/>
        <v/>
      </c>
    </row>
    <row r="404" spans="1:7" x14ac:dyDescent="0.2">
      <c r="A404" t="str">
        <f>IF(MASTER_RAW_MATERIALS!B404="","",MASTER_RAW_MATERIALS!B404)</f>
        <v/>
      </c>
      <c r="B404" t="str">
        <f>IF(A404="","",MASTER_RAW_MATERIALS!D404)</f>
        <v/>
      </c>
      <c r="C404" t="str">
        <f>IF(A404="","",SUMIFS(PURCHASES!E:E,PURCHASES!D:D,A404))</f>
        <v/>
      </c>
      <c r="D404" t="str">
        <f>IF(A404="","",SUMIFS(PRODUCTION_REPORT!E:E,PRODUCTION_REPORT!D:D,A404)+SUMIFS(PRODUCTION_REPORT!G:G,PRODUCTION_REPORT!F:F,A404)+SUMIFS(PRODUCTION_REPORT!I:I,PRODUCTION_REPORT!H:H,A404)+SUMIFS(PRODUCTION_REPORT!K:K,PRODUCTION_REPORT!J:J,A404)+SUMIFS(PRODUCTION_REPORT!M:M,PRODUCTION_REPORT!L:L,A404)+SUMIFS(PRODUCTION_REPORT!O:O,PRODUCTION_REPORT!N:N,A404))</f>
        <v/>
      </c>
      <c r="E404" t="str">
        <f t="shared" si="12"/>
        <v/>
      </c>
      <c r="F404" t="str">
        <f>IF(A404="","",_xludf.XLOOKUP(A404,MASTER_RAW_MATERIALS!B:B,MASTER_RAW_MATERIALS!E:E,0))</f>
        <v/>
      </c>
      <c r="G404" t="str">
        <f t="shared" si="13"/>
        <v/>
      </c>
    </row>
    <row r="405" spans="1:7" x14ac:dyDescent="0.2">
      <c r="A405" t="str">
        <f>IF(MASTER_RAW_MATERIALS!B405="","",MASTER_RAW_MATERIALS!B405)</f>
        <v/>
      </c>
      <c r="B405" t="str">
        <f>IF(A405="","",MASTER_RAW_MATERIALS!D405)</f>
        <v/>
      </c>
      <c r="C405" t="str">
        <f>IF(A405="","",SUMIFS(PURCHASES!E:E,PURCHASES!D:D,A405))</f>
        <v/>
      </c>
      <c r="D405" t="str">
        <f>IF(A405="","",SUMIFS(PRODUCTION_REPORT!E:E,PRODUCTION_REPORT!D:D,A405)+SUMIFS(PRODUCTION_REPORT!G:G,PRODUCTION_REPORT!F:F,A405)+SUMIFS(PRODUCTION_REPORT!I:I,PRODUCTION_REPORT!H:H,A405)+SUMIFS(PRODUCTION_REPORT!K:K,PRODUCTION_REPORT!J:J,A405)+SUMIFS(PRODUCTION_REPORT!M:M,PRODUCTION_REPORT!L:L,A405)+SUMIFS(PRODUCTION_REPORT!O:O,PRODUCTION_REPORT!N:N,A405))</f>
        <v/>
      </c>
      <c r="E405" t="str">
        <f t="shared" si="12"/>
        <v/>
      </c>
      <c r="F405" t="str">
        <f>IF(A405="","",_xludf.XLOOKUP(A405,MASTER_RAW_MATERIALS!B:B,MASTER_RAW_MATERIALS!E:E,0))</f>
        <v/>
      </c>
      <c r="G405" t="str">
        <f t="shared" si="13"/>
        <v/>
      </c>
    </row>
    <row r="406" spans="1:7" x14ac:dyDescent="0.2">
      <c r="A406" t="str">
        <f>IF(MASTER_RAW_MATERIALS!B406="","",MASTER_RAW_MATERIALS!B406)</f>
        <v/>
      </c>
      <c r="B406" t="str">
        <f>IF(A406="","",MASTER_RAW_MATERIALS!D406)</f>
        <v/>
      </c>
      <c r="C406" t="str">
        <f>IF(A406="","",SUMIFS(PURCHASES!E:E,PURCHASES!D:D,A406))</f>
        <v/>
      </c>
      <c r="D406" t="str">
        <f>IF(A406="","",SUMIFS(PRODUCTION_REPORT!E:E,PRODUCTION_REPORT!D:D,A406)+SUMIFS(PRODUCTION_REPORT!G:G,PRODUCTION_REPORT!F:F,A406)+SUMIFS(PRODUCTION_REPORT!I:I,PRODUCTION_REPORT!H:H,A406)+SUMIFS(PRODUCTION_REPORT!K:K,PRODUCTION_REPORT!J:J,A406)+SUMIFS(PRODUCTION_REPORT!M:M,PRODUCTION_REPORT!L:L,A406)+SUMIFS(PRODUCTION_REPORT!O:O,PRODUCTION_REPORT!N:N,A406))</f>
        <v/>
      </c>
      <c r="E406" t="str">
        <f t="shared" si="12"/>
        <v/>
      </c>
      <c r="F406" t="str">
        <f>IF(A406="","",_xludf.XLOOKUP(A406,MASTER_RAW_MATERIALS!B:B,MASTER_RAW_MATERIALS!E:E,0))</f>
        <v/>
      </c>
      <c r="G406" t="str">
        <f t="shared" si="13"/>
        <v/>
      </c>
    </row>
    <row r="407" spans="1:7" x14ac:dyDescent="0.2">
      <c r="A407" t="str">
        <f>IF(MASTER_RAW_MATERIALS!B407="","",MASTER_RAW_MATERIALS!B407)</f>
        <v/>
      </c>
      <c r="B407" t="str">
        <f>IF(A407="","",MASTER_RAW_MATERIALS!D407)</f>
        <v/>
      </c>
      <c r="C407" t="str">
        <f>IF(A407="","",SUMIFS(PURCHASES!E:E,PURCHASES!D:D,A407))</f>
        <v/>
      </c>
      <c r="D407" t="str">
        <f>IF(A407="","",SUMIFS(PRODUCTION_REPORT!E:E,PRODUCTION_REPORT!D:D,A407)+SUMIFS(PRODUCTION_REPORT!G:G,PRODUCTION_REPORT!F:F,A407)+SUMIFS(PRODUCTION_REPORT!I:I,PRODUCTION_REPORT!H:H,A407)+SUMIFS(PRODUCTION_REPORT!K:K,PRODUCTION_REPORT!J:J,A407)+SUMIFS(PRODUCTION_REPORT!M:M,PRODUCTION_REPORT!L:L,A407)+SUMIFS(PRODUCTION_REPORT!O:O,PRODUCTION_REPORT!N:N,A407))</f>
        <v/>
      </c>
      <c r="E407" t="str">
        <f t="shared" si="12"/>
        <v/>
      </c>
      <c r="F407" t="str">
        <f>IF(A407="","",_xludf.XLOOKUP(A407,MASTER_RAW_MATERIALS!B:B,MASTER_RAW_MATERIALS!E:E,0))</f>
        <v/>
      </c>
      <c r="G407" t="str">
        <f t="shared" si="13"/>
        <v/>
      </c>
    </row>
    <row r="408" spans="1:7" x14ac:dyDescent="0.2">
      <c r="A408" t="str">
        <f>IF(MASTER_RAW_MATERIALS!B408="","",MASTER_RAW_MATERIALS!B408)</f>
        <v/>
      </c>
      <c r="B408" t="str">
        <f>IF(A408="","",MASTER_RAW_MATERIALS!D408)</f>
        <v/>
      </c>
      <c r="C408" t="str">
        <f>IF(A408="","",SUMIFS(PURCHASES!E:E,PURCHASES!D:D,A408))</f>
        <v/>
      </c>
      <c r="D408" t="str">
        <f>IF(A408="","",SUMIFS(PRODUCTION_REPORT!E:E,PRODUCTION_REPORT!D:D,A408)+SUMIFS(PRODUCTION_REPORT!G:G,PRODUCTION_REPORT!F:F,A408)+SUMIFS(PRODUCTION_REPORT!I:I,PRODUCTION_REPORT!H:H,A408)+SUMIFS(PRODUCTION_REPORT!K:K,PRODUCTION_REPORT!J:J,A408)+SUMIFS(PRODUCTION_REPORT!M:M,PRODUCTION_REPORT!L:L,A408)+SUMIFS(PRODUCTION_REPORT!O:O,PRODUCTION_REPORT!N:N,A408))</f>
        <v/>
      </c>
      <c r="E408" t="str">
        <f t="shared" si="12"/>
        <v/>
      </c>
      <c r="F408" t="str">
        <f>IF(A408="","",_xludf.XLOOKUP(A408,MASTER_RAW_MATERIALS!B:B,MASTER_RAW_MATERIALS!E:E,0))</f>
        <v/>
      </c>
      <c r="G408" t="str">
        <f t="shared" si="13"/>
        <v/>
      </c>
    </row>
    <row r="409" spans="1:7" x14ac:dyDescent="0.2">
      <c r="A409" t="str">
        <f>IF(MASTER_RAW_MATERIALS!B409="","",MASTER_RAW_MATERIALS!B409)</f>
        <v/>
      </c>
      <c r="B409" t="str">
        <f>IF(A409="","",MASTER_RAW_MATERIALS!D409)</f>
        <v/>
      </c>
      <c r="C409" t="str">
        <f>IF(A409="","",SUMIFS(PURCHASES!E:E,PURCHASES!D:D,A409))</f>
        <v/>
      </c>
      <c r="D409" t="str">
        <f>IF(A409="","",SUMIFS(PRODUCTION_REPORT!E:E,PRODUCTION_REPORT!D:D,A409)+SUMIFS(PRODUCTION_REPORT!G:G,PRODUCTION_REPORT!F:F,A409)+SUMIFS(PRODUCTION_REPORT!I:I,PRODUCTION_REPORT!H:H,A409)+SUMIFS(PRODUCTION_REPORT!K:K,PRODUCTION_REPORT!J:J,A409)+SUMIFS(PRODUCTION_REPORT!M:M,PRODUCTION_REPORT!L:L,A409)+SUMIFS(PRODUCTION_REPORT!O:O,PRODUCTION_REPORT!N:N,A409))</f>
        <v/>
      </c>
      <c r="E409" t="str">
        <f t="shared" si="12"/>
        <v/>
      </c>
      <c r="F409" t="str">
        <f>IF(A409="","",_xludf.XLOOKUP(A409,MASTER_RAW_MATERIALS!B:B,MASTER_RAW_MATERIALS!E:E,0))</f>
        <v/>
      </c>
      <c r="G409" t="str">
        <f t="shared" si="13"/>
        <v/>
      </c>
    </row>
    <row r="410" spans="1:7" x14ac:dyDescent="0.2">
      <c r="A410" t="str">
        <f>IF(MASTER_RAW_MATERIALS!B410="","",MASTER_RAW_MATERIALS!B410)</f>
        <v/>
      </c>
      <c r="B410" t="str">
        <f>IF(A410="","",MASTER_RAW_MATERIALS!D410)</f>
        <v/>
      </c>
      <c r="C410" t="str">
        <f>IF(A410="","",SUMIFS(PURCHASES!E:E,PURCHASES!D:D,A410))</f>
        <v/>
      </c>
      <c r="D410" t="str">
        <f>IF(A410="","",SUMIFS(PRODUCTION_REPORT!E:E,PRODUCTION_REPORT!D:D,A410)+SUMIFS(PRODUCTION_REPORT!G:G,PRODUCTION_REPORT!F:F,A410)+SUMIFS(PRODUCTION_REPORT!I:I,PRODUCTION_REPORT!H:H,A410)+SUMIFS(PRODUCTION_REPORT!K:K,PRODUCTION_REPORT!J:J,A410)+SUMIFS(PRODUCTION_REPORT!M:M,PRODUCTION_REPORT!L:L,A410)+SUMIFS(PRODUCTION_REPORT!O:O,PRODUCTION_REPORT!N:N,A410))</f>
        <v/>
      </c>
      <c r="E410" t="str">
        <f t="shared" si="12"/>
        <v/>
      </c>
      <c r="F410" t="str">
        <f>IF(A410="","",_xludf.XLOOKUP(A410,MASTER_RAW_MATERIALS!B:B,MASTER_RAW_MATERIALS!E:E,0))</f>
        <v/>
      </c>
      <c r="G410" t="str">
        <f t="shared" si="13"/>
        <v/>
      </c>
    </row>
    <row r="411" spans="1:7" x14ac:dyDescent="0.2">
      <c r="A411" t="str">
        <f>IF(MASTER_RAW_MATERIALS!B411="","",MASTER_RAW_MATERIALS!B411)</f>
        <v/>
      </c>
      <c r="B411" t="str">
        <f>IF(A411="","",MASTER_RAW_MATERIALS!D411)</f>
        <v/>
      </c>
      <c r="C411" t="str">
        <f>IF(A411="","",SUMIFS(PURCHASES!E:E,PURCHASES!D:D,A411))</f>
        <v/>
      </c>
      <c r="D411" t="str">
        <f>IF(A411="","",SUMIFS(PRODUCTION_REPORT!E:E,PRODUCTION_REPORT!D:D,A411)+SUMIFS(PRODUCTION_REPORT!G:G,PRODUCTION_REPORT!F:F,A411)+SUMIFS(PRODUCTION_REPORT!I:I,PRODUCTION_REPORT!H:H,A411)+SUMIFS(PRODUCTION_REPORT!K:K,PRODUCTION_REPORT!J:J,A411)+SUMIFS(PRODUCTION_REPORT!M:M,PRODUCTION_REPORT!L:L,A411)+SUMIFS(PRODUCTION_REPORT!O:O,PRODUCTION_REPORT!N:N,A411))</f>
        <v/>
      </c>
      <c r="E411" t="str">
        <f t="shared" si="12"/>
        <v/>
      </c>
      <c r="F411" t="str">
        <f>IF(A411="","",_xludf.XLOOKUP(A411,MASTER_RAW_MATERIALS!B:B,MASTER_RAW_MATERIALS!E:E,0))</f>
        <v/>
      </c>
      <c r="G411" t="str">
        <f t="shared" si="13"/>
        <v/>
      </c>
    </row>
    <row r="412" spans="1:7" x14ac:dyDescent="0.2">
      <c r="A412" t="str">
        <f>IF(MASTER_RAW_MATERIALS!B412="","",MASTER_RAW_MATERIALS!B412)</f>
        <v/>
      </c>
      <c r="B412" t="str">
        <f>IF(A412="","",MASTER_RAW_MATERIALS!D412)</f>
        <v/>
      </c>
      <c r="C412" t="str">
        <f>IF(A412="","",SUMIFS(PURCHASES!E:E,PURCHASES!D:D,A412))</f>
        <v/>
      </c>
      <c r="D412" t="str">
        <f>IF(A412="","",SUMIFS(PRODUCTION_REPORT!E:E,PRODUCTION_REPORT!D:D,A412)+SUMIFS(PRODUCTION_REPORT!G:G,PRODUCTION_REPORT!F:F,A412)+SUMIFS(PRODUCTION_REPORT!I:I,PRODUCTION_REPORT!H:H,A412)+SUMIFS(PRODUCTION_REPORT!K:K,PRODUCTION_REPORT!J:J,A412)+SUMIFS(PRODUCTION_REPORT!M:M,PRODUCTION_REPORT!L:L,A412)+SUMIFS(PRODUCTION_REPORT!O:O,PRODUCTION_REPORT!N:N,A412))</f>
        <v/>
      </c>
      <c r="E412" t="str">
        <f t="shared" si="12"/>
        <v/>
      </c>
      <c r="F412" t="str">
        <f>IF(A412="","",_xludf.XLOOKUP(A412,MASTER_RAW_MATERIALS!B:B,MASTER_RAW_MATERIALS!E:E,0))</f>
        <v/>
      </c>
      <c r="G412" t="str">
        <f t="shared" si="13"/>
        <v/>
      </c>
    </row>
    <row r="413" spans="1:7" x14ac:dyDescent="0.2">
      <c r="A413" t="str">
        <f>IF(MASTER_RAW_MATERIALS!B413="","",MASTER_RAW_MATERIALS!B413)</f>
        <v/>
      </c>
      <c r="B413" t="str">
        <f>IF(A413="","",MASTER_RAW_MATERIALS!D413)</f>
        <v/>
      </c>
      <c r="C413" t="str">
        <f>IF(A413="","",SUMIFS(PURCHASES!E:E,PURCHASES!D:D,A413))</f>
        <v/>
      </c>
      <c r="D413" t="str">
        <f>IF(A413="","",SUMIFS(PRODUCTION_REPORT!E:E,PRODUCTION_REPORT!D:D,A413)+SUMIFS(PRODUCTION_REPORT!G:G,PRODUCTION_REPORT!F:F,A413)+SUMIFS(PRODUCTION_REPORT!I:I,PRODUCTION_REPORT!H:H,A413)+SUMIFS(PRODUCTION_REPORT!K:K,PRODUCTION_REPORT!J:J,A413)+SUMIFS(PRODUCTION_REPORT!M:M,PRODUCTION_REPORT!L:L,A413)+SUMIFS(PRODUCTION_REPORT!O:O,PRODUCTION_REPORT!N:N,A413))</f>
        <v/>
      </c>
      <c r="E413" t="str">
        <f t="shared" si="12"/>
        <v/>
      </c>
      <c r="F413" t="str">
        <f>IF(A413="","",_xludf.XLOOKUP(A413,MASTER_RAW_MATERIALS!B:B,MASTER_RAW_MATERIALS!E:E,0))</f>
        <v/>
      </c>
      <c r="G413" t="str">
        <f t="shared" si="13"/>
        <v/>
      </c>
    </row>
    <row r="414" spans="1:7" x14ac:dyDescent="0.2">
      <c r="A414" t="str">
        <f>IF(MASTER_RAW_MATERIALS!B414="","",MASTER_RAW_MATERIALS!B414)</f>
        <v/>
      </c>
      <c r="B414" t="str">
        <f>IF(A414="","",MASTER_RAW_MATERIALS!D414)</f>
        <v/>
      </c>
      <c r="C414" t="str">
        <f>IF(A414="","",SUMIFS(PURCHASES!E:E,PURCHASES!D:D,A414))</f>
        <v/>
      </c>
      <c r="D414" t="str">
        <f>IF(A414="","",SUMIFS(PRODUCTION_REPORT!E:E,PRODUCTION_REPORT!D:D,A414)+SUMIFS(PRODUCTION_REPORT!G:G,PRODUCTION_REPORT!F:F,A414)+SUMIFS(PRODUCTION_REPORT!I:I,PRODUCTION_REPORT!H:H,A414)+SUMIFS(PRODUCTION_REPORT!K:K,PRODUCTION_REPORT!J:J,A414)+SUMIFS(PRODUCTION_REPORT!M:M,PRODUCTION_REPORT!L:L,A414)+SUMIFS(PRODUCTION_REPORT!O:O,PRODUCTION_REPORT!N:N,A414))</f>
        <v/>
      </c>
      <c r="E414" t="str">
        <f t="shared" si="12"/>
        <v/>
      </c>
      <c r="F414" t="str">
        <f>IF(A414="","",_xludf.XLOOKUP(A414,MASTER_RAW_MATERIALS!B:B,MASTER_RAW_MATERIALS!E:E,0))</f>
        <v/>
      </c>
      <c r="G414" t="str">
        <f t="shared" si="13"/>
        <v/>
      </c>
    </row>
    <row r="415" spans="1:7" x14ac:dyDescent="0.2">
      <c r="A415" t="str">
        <f>IF(MASTER_RAW_MATERIALS!B415="","",MASTER_RAW_MATERIALS!B415)</f>
        <v/>
      </c>
      <c r="B415" t="str">
        <f>IF(A415="","",MASTER_RAW_MATERIALS!D415)</f>
        <v/>
      </c>
      <c r="C415" t="str">
        <f>IF(A415="","",SUMIFS(PURCHASES!E:E,PURCHASES!D:D,A415))</f>
        <v/>
      </c>
      <c r="D415" t="str">
        <f>IF(A415="","",SUMIFS(PRODUCTION_REPORT!E:E,PRODUCTION_REPORT!D:D,A415)+SUMIFS(PRODUCTION_REPORT!G:G,PRODUCTION_REPORT!F:F,A415)+SUMIFS(PRODUCTION_REPORT!I:I,PRODUCTION_REPORT!H:H,A415)+SUMIFS(PRODUCTION_REPORT!K:K,PRODUCTION_REPORT!J:J,A415)+SUMIFS(PRODUCTION_REPORT!M:M,PRODUCTION_REPORT!L:L,A415)+SUMIFS(PRODUCTION_REPORT!O:O,PRODUCTION_REPORT!N:N,A415))</f>
        <v/>
      </c>
      <c r="E415" t="str">
        <f t="shared" si="12"/>
        <v/>
      </c>
      <c r="F415" t="str">
        <f>IF(A415="","",_xludf.XLOOKUP(A415,MASTER_RAW_MATERIALS!B:B,MASTER_RAW_MATERIALS!E:E,0))</f>
        <v/>
      </c>
      <c r="G415" t="str">
        <f t="shared" si="13"/>
        <v/>
      </c>
    </row>
    <row r="416" spans="1:7" x14ac:dyDescent="0.2">
      <c r="A416" t="str">
        <f>IF(MASTER_RAW_MATERIALS!B416="","",MASTER_RAW_MATERIALS!B416)</f>
        <v/>
      </c>
      <c r="B416" t="str">
        <f>IF(A416="","",MASTER_RAW_MATERIALS!D416)</f>
        <v/>
      </c>
      <c r="C416" t="str">
        <f>IF(A416="","",SUMIFS(PURCHASES!E:E,PURCHASES!D:D,A416))</f>
        <v/>
      </c>
      <c r="D416" t="str">
        <f>IF(A416="","",SUMIFS(PRODUCTION_REPORT!E:E,PRODUCTION_REPORT!D:D,A416)+SUMIFS(PRODUCTION_REPORT!G:G,PRODUCTION_REPORT!F:F,A416)+SUMIFS(PRODUCTION_REPORT!I:I,PRODUCTION_REPORT!H:H,A416)+SUMIFS(PRODUCTION_REPORT!K:K,PRODUCTION_REPORT!J:J,A416)+SUMIFS(PRODUCTION_REPORT!M:M,PRODUCTION_REPORT!L:L,A416)+SUMIFS(PRODUCTION_REPORT!O:O,PRODUCTION_REPORT!N:N,A416))</f>
        <v/>
      </c>
      <c r="E416" t="str">
        <f t="shared" si="12"/>
        <v/>
      </c>
      <c r="F416" t="str">
        <f>IF(A416="","",_xludf.XLOOKUP(A416,MASTER_RAW_MATERIALS!B:B,MASTER_RAW_MATERIALS!E:E,0))</f>
        <v/>
      </c>
      <c r="G416" t="str">
        <f t="shared" si="13"/>
        <v/>
      </c>
    </row>
    <row r="417" spans="1:7" x14ac:dyDescent="0.2">
      <c r="A417" t="str">
        <f>IF(MASTER_RAW_MATERIALS!B417="","",MASTER_RAW_MATERIALS!B417)</f>
        <v/>
      </c>
      <c r="B417" t="str">
        <f>IF(A417="","",MASTER_RAW_MATERIALS!D417)</f>
        <v/>
      </c>
      <c r="C417" t="str">
        <f>IF(A417="","",SUMIFS(PURCHASES!E:E,PURCHASES!D:D,A417))</f>
        <v/>
      </c>
      <c r="D417" t="str">
        <f>IF(A417="","",SUMIFS(PRODUCTION_REPORT!E:E,PRODUCTION_REPORT!D:D,A417)+SUMIFS(PRODUCTION_REPORT!G:G,PRODUCTION_REPORT!F:F,A417)+SUMIFS(PRODUCTION_REPORT!I:I,PRODUCTION_REPORT!H:H,A417)+SUMIFS(PRODUCTION_REPORT!K:K,PRODUCTION_REPORT!J:J,A417)+SUMIFS(PRODUCTION_REPORT!M:M,PRODUCTION_REPORT!L:L,A417)+SUMIFS(PRODUCTION_REPORT!O:O,PRODUCTION_REPORT!N:N,A417))</f>
        <v/>
      </c>
      <c r="E417" t="str">
        <f t="shared" si="12"/>
        <v/>
      </c>
      <c r="F417" t="str">
        <f>IF(A417="","",_xludf.XLOOKUP(A417,MASTER_RAW_MATERIALS!B:B,MASTER_RAW_MATERIALS!E:E,0))</f>
        <v/>
      </c>
      <c r="G417" t="str">
        <f t="shared" si="13"/>
        <v/>
      </c>
    </row>
    <row r="418" spans="1:7" x14ac:dyDescent="0.2">
      <c r="A418" t="str">
        <f>IF(MASTER_RAW_MATERIALS!B418="","",MASTER_RAW_MATERIALS!B418)</f>
        <v/>
      </c>
      <c r="B418" t="str">
        <f>IF(A418="","",MASTER_RAW_MATERIALS!D418)</f>
        <v/>
      </c>
      <c r="C418" t="str">
        <f>IF(A418="","",SUMIFS(PURCHASES!E:E,PURCHASES!D:D,A418))</f>
        <v/>
      </c>
      <c r="D418" t="str">
        <f>IF(A418="","",SUMIFS(PRODUCTION_REPORT!E:E,PRODUCTION_REPORT!D:D,A418)+SUMIFS(PRODUCTION_REPORT!G:G,PRODUCTION_REPORT!F:F,A418)+SUMIFS(PRODUCTION_REPORT!I:I,PRODUCTION_REPORT!H:H,A418)+SUMIFS(PRODUCTION_REPORT!K:K,PRODUCTION_REPORT!J:J,A418)+SUMIFS(PRODUCTION_REPORT!M:M,PRODUCTION_REPORT!L:L,A418)+SUMIFS(PRODUCTION_REPORT!O:O,PRODUCTION_REPORT!N:N,A418))</f>
        <v/>
      </c>
      <c r="E418" t="str">
        <f t="shared" si="12"/>
        <v/>
      </c>
      <c r="F418" t="str">
        <f>IF(A418="","",_xludf.XLOOKUP(A418,MASTER_RAW_MATERIALS!B:B,MASTER_RAW_MATERIALS!E:E,0))</f>
        <v/>
      </c>
      <c r="G418" t="str">
        <f t="shared" si="13"/>
        <v/>
      </c>
    </row>
    <row r="419" spans="1:7" x14ac:dyDescent="0.2">
      <c r="A419" t="str">
        <f>IF(MASTER_RAW_MATERIALS!B419="","",MASTER_RAW_MATERIALS!B419)</f>
        <v/>
      </c>
      <c r="B419" t="str">
        <f>IF(A419="","",MASTER_RAW_MATERIALS!D419)</f>
        <v/>
      </c>
      <c r="C419" t="str">
        <f>IF(A419="","",SUMIFS(PURCHASES!E:E,PURCHASES!D:D,A419))</f>
        <v/>
      </c>
      <c r="D419" t="str">
        <f>IF(A419="","",SUMIFS(PRODUCTION_REPORT!E:E,PRODUCTION_REPORT!D:D,A419)+SUMIFS(PRODUCTION_REPORT!G:G,PRODUCTION_REPORT!F:F,A419)+SUMIFS(PRODUCTION_REPORT!I:I,PRODUCTION_REPORT!H:H,A419)+SUMIFS(PRODUCTION_REPORT!K:K,PRODUCTION_REPORT!J:J,A419)+SUMIFS(PRODUCTION_REPORT!M:M,PRODUCTION_REPORT!L:L,A419)+SUMIFS(PRODUCTION_REPORT!O:O,PRODUCTION_REPORT!N:N,A419))</f>
        <v/>
      </c>
      <c r="E419" t="str">
        <f t="shared" si="12"/>
        <v/>
      </c>
      <c r="F419" t="str">
        <f>IF(A419="","",_xludf.XLOOKUP(A419,MASTER_RAW_MATERIALS!B:B,MASTER_RAW_MATERIALS!E:E,0))</f>
        <v/>
      </c>
      <c r="G419" t="str">
        <f t="shared" si="13"/>
        <v/>
      </c>
    </row>
    <row r="420" spans="1:7" x14ac:dyDescent="0.2">
      <c r="A420" t="str">
        <f>IF(MASTER_RAW_MATERIALS!B420="","",MASTER_RAW_MATERIALS!B420)</f>
        <v/>
      </c>
      <c r="B420" t="str">
        <f>IF(A420="","",MASTER_RAW_MATERIALS!D420)</f>
        <v/>
      </c>
      <c r="C420" t="str">
        <f>IF(A420="","",SUMIFS(PURCHASES!E:E,PURCHASES!D:D,A420))</f>
        <v/>
      </c>
      <c r="D420" t="str">
        <f>IF(A420="","",SUMIFS(PRODUCTION_REPORT!E:E,PRODUCTION_REPORT!D:D,A420)+SUMIFS(PRODUCTION_REPORT!G:G,PRODUCTION_REPORT!F:F,A420)+SUMIFS(PRODUCTION_REPORT!I:I,PRODUCTION_REPORT!H:H,A420)+SUMIFS(PRODUCTION_REPORT!K:K,PRODUCTION_REPORT!J:J,A420)+SUMIFS(PRODUCTION_REPORT!M:M,PRODUCTION_REPORT!L:L,A420)+SUMIFS(PRODUCTION_REPORT!O:O,PRODUCTION_REPORT!N:N,A420))</f>
        <v/>
      </c>
      <c r="E420" t="str">
        <f t="shared" si="12"/>
        <v/>
      </c>
      <c r="F420" t="str">
        <f>IF(A420="","",_xludf.XLOOKUP(A420,MASTER_RAW_MATERIALS!B:B,MASTER_RAW_MATERIALS!E:E,0))</f>
        <v/>
      </c>
      <c r="G420" t="str">
        <f t="shared" si="13"/>
        <v/>
      </c>
    </row>
    <row r="421" spans="1:7" x14ac:dyDescent="0.2">
      <c r="A421" t="str">
        <f>IF(MASTER_RAW_MATERIALS!B421="","",MASTER_RAW_MATERIALS!B421)</f>
        <v/>
      </c>
      <c r="B421" t="str">
        <f>IF(A421="","",MASTER_RAW_MATERIALS!D421)</f>
        <v/>
      </c>
      <c r="C421" t="str">
        <f>IF(A421="","",SUMIFS(PURCHASES!E:E,PURCHASES!D:D,A421))</f>
        <v/>
      </c>
      <c r="D421" t="str">
        <f>IF(A421="","",SUMIFS(PRODUCTION_REPORT!E:E,PRODUCTION_REPORT!D:D,A421)+SUMIFS(PRODUCTION_REPORT!G:G,PRODUCTION_REPORT!F:F,A421)+SUMIFS(PRODUCTION_REPORT!I:I,PRODUCTION_REPORT!H:H,A421)+SUMIFS(PRODUCTION_REPORT!K:K,PRODUCTION_REPORT!J:J,A421)+SUMIFS(PRODUCTION_REPORT!M:M,PRODUCTION_REPORT!L:L,A421)+SUMIFS(PRODUCTION_REPORT!O:O,PRODUCTION_REPORT!N:N,A421))</f>
        <v/>
      </c>
      <c r="E421" t="str">
        <f t="shared" si="12"/>
        <v/>
      </c>
      <c r="F421" t="str">
        <f>IF(A421="","",_xludf.XLOOKUP(A421,MASTER_RAW_MATERIALS!B:B,MASTER_RAW_MATERIALS!E:E,0))</f>
        <v/>
      </c>
      <c r="G421" t="str">
        <f t="shared" si="13"/>
        <v/>
      </c>
    </row>
    <row r="422" spans="1:7" x14ac:dyDescent="0.2">
      <c r="A422" t="str">
        <f>IF(MASTER_RAW_MATERIALS!B422="","",MASTER_RAW_MATERIALS!B422)</f>
        <v/>
      </c>
      <c r="B422" t="str">
        <f>IF(A422="","",MASTER_RAW_MATERIALS!D422)</f>
        <v/>
      </c>
      <c r="C422" t="str">
        <f>IF(A422="","",SUMIFS(PURCHASES!E:E,PURCHASES!D:D,A422))</f>
        <v/>
      </c>
      <c r="D422" t="str">
        <f>IF(A422="","",SUMIFS(PRODUCTION_REPORT!E:E,PRODUCTION_REPORT!D:D,A422)+SUMIFS(PRODUCTION_REPORT!G:G,PRODUCTION_REPORT!F:F,A422)+SUMIFS(PRODUCTION_REPORT!I:I,PRODUCTION_REPORT!H:H,A422)+SUMIFS(PRODUCTION_REPORT!K:K,PRODUCTION_REPORT!J:J,A422)+SUMIFS(PRODUCTION_REPORT!M:M,PRODUCTION_REPORT!L:L,A422)+SUMIFS(PRODUCTION_REPORT!O:O,PRODUCTION_REPORT!N:N,A422))</f>
        <v/>
      </c>
      <c r="E422" t="str">
        <f t="shared" si="12"/>
        <v/>
      </c>
      <c r="F422" t="str">
        <f>IF(A422="","",_xludf.XLOOKUP(A422,MASTER_RAW_MATERIALS!B:B,MASTER_RAW_MATERIALS!E:E,0))</f>
        <v/>
      </c>
      <c r="G422" t="str">
        <f t="shared" si="13"/>
        <v/>
      </c>
    </row>
    <row r="423" spans="1:7" x14ac:dyDescent="0.2">
      <c r="A423" t="str">
        <f>IF(MASTER_RAW_MATERIALS!B423="","",MASTER_RAW_MATERIALS!B423)</f>
        <v/>
      </c>
      <c r="B423" t="str">
        <f>IF(A423="","",MASTER_RAW_MATERIALS!D423)</f>
        <v/>
      </c>
      <c r="C423" t="str">
        <f>IF(A423="","",SUMIFS(PURCHASES!E:E,PURCHASES!D:D,A423))</f>
        <v/>
      </c>
      <c r="D423" t="str">
        <f>IF(A423="","",SUMIFS(PRODUCTION_REPORT!E:E,PRODUCTION_REPORT!D:D,A423)+SUMIFS(PRODUCTION_REPORT!G:G,PRODUCTION_REPORT!F:F,A423)+SUMIFS(PRODUCTION_REPORT!I:I,PRODUCTION_REPORT!H:H,A423)+SUMIFS(PRODUCTION_REPORT!K:K,PRODUCTION_REPORT!J:J,A423)+SUMIFS(PRODUCTION_REPORT!M:M,PRODUCTION_REPORT!L:L,A423)+SUMIFS(PRODUCTION_REPORT!O:O,PRODUCTION_REPORT!N:N,A423))</f>
        <v/>
      </c>
      <c r="E423" t="str">
        <f t="shared" si="12"/>
        <v/>
      </c>
      <c r="F423" t="str">
        <f>IF(A423="","",_xludf.XLOOKUP(A423,MASTER_RAW_MATERIALS!B:B,MASTER_RAW_MATERIALS!E:E,0))</f>
        <v/>
      </c>
      <c r="G423" t="str">
        <f t="shared" si="13"/>
        <v/>
      </c>
    </row>
    <row r="424" spans="1:7" x14ac:dyDescent="0.2">
      <c r="A424" t="str">
        <f>IF(MASTER_RAW_MATERIALS!B424="","",MASTER_RAW_MATERIALS!B424)</f>
        <v/>
      </c>
      <c r="B424" t="str">
        <f>IF(A424="","",MASTER_RAW_MATERIALS!D424)</f>
        <v/>
      </c>
      <c r="C424" t="str">
        <f>IF(A424="","",SUMIFS(PURCHASES!E:E,PURCHASES!D:D,A424))</f>
        <v/>
      </c>
      <c r="D424" t="str">
        <f>IF(A424="","",SUMIFS(PRODUCTION_REPORT!E:E,PRODUCTION_REPORT!D:D,A424)+SUMIFS(PRODUCTION_REPORT!G:G,PRODUCTION_REPORT!F:F,A424)+SUMIFS(PRODUCTION_REPORT!I:I,PRODUCTION_REPORT!H:H,A424)+SUMIFS(PRODUCTION_REPORT!K:K,PRODUCTION_REPORT!J:J,A424)+SUMIFS(PRODUCTION_REPORT!M:M,PRODUCTION_REPORT!L:L,A424)+SUMIFS(PRODUCTION_REPORT!O:O,PRODUCTION_REPORT!N:N,A424))</f>
        <v/>
      </c>
      <c r="E424" t="str">
        <f t="shared" si="12"/>
        <v/>
      </c>
      <c r="F424" t="str">
        <f>IF(A424="","",_xludf.XLOOKUP(A424,MASTER_RAW_MATERIALS!B:B,MASTER_RAW_MATERIALS!E:E,0))</f>
        <v/>
      </c>
      <c r="G424" t="str">
        <f t="shared" si="13"/>
        <v/>
      </c>
    </row>
    <row r="425" spans="1:7" x14ac:dyDescent="0.2">
      <c r="A425" t="str">
        <f>IF(MASTER_RAW_MATERIALS!B425="","",MASTER_RAW_MATERIALS!B425)</f>
        <v/>
      </c>
      <c r="B425" t="str">
        <f>IF(A425="","",MASTER_RAW_MATERIALS!D425)</f>
        <v/>
      </c>
      <c r="C425" t="str">
        <f>IF(A425="","",SUMIFS(PURCHASES!E:E,PURCHASES!D:D,A425))</f>
        <v/>
      </c>
      <c r="D425" t="str">
        <f>IF(A425="","",SUMIFS(PRODUCTION_REPORT!E:E,PRODUCTION_REPORT!D:D,A425)+SUMIFS(PRODUCTION_REPORT!G:G,PRODUCTION_REPORT!F:F,A425)+SUMIFS(PRODUCTION_REPORT!I:I,PRODUCTION_REPORT!H:H,A425)+SUMIFS(PRODUCTION_REPORT!K:K,PRODUCTION_REPORT!J:J,A425)+SUMIFS(PRODUCTION_REPORT!M:M,PRODUCTION_REPORT!L:L,A425)+SUMIFS(PRODUCTION_REPORT!O:O,PRODUCTION_REPORT!N:N,A425))</f>
        <v/>
      </c>
      <c r="E425" t="str">
        <f t="shared" si="12"/>
        <v/>
      </c>
      <c r="F425" t="str">
        <f>IF(A425="","",_xludf.XLOOKUP(A425,MASTER_RAW_MATERIALS!B:B,MASTER_RAW_MATERIALS!E:E,0))</f>
        <v/>
      </c>
      <c r="G425" t="str">
        <f t="shared" si="13"/>
        <v/>
      </c>
    </row>
    <row r="426" spans="1:7" x14ac:dyDescent="0.2">
      <c r="A426" t="str">
        <f>IF(MASTER_RAW_MATERIALS!B426="","",MASTER_RAW_MATERIALS!B426)</f>
        <v/>
      </c>
      <c r="B426" t="str">
        <f>IF(A426="","",MASTER_RAW_MATERIALS!D426)</f>
        <v/>
      </c>
      <c r="C426" t="str">
        <f>IF(A426="","",SUMIFS(PURCHASES!E:E,PURCHASES!D:D,A426))</f>
        <v/>
      </c>
      <c r="D426" t="str">
        <f>IF(A426="","",SUMIFS(PRODUCTION_REPORT!E:E,PRODUCTION_REPORT!D:D,A426)+SUMIFS(PRODUCTION_REPORT!G:G,PRODUCTION_REPORT!F:F,A426)+SUMIFS(PRODUCTION_REPORT!I:I,PRODUCTION_REPORT!H:H,A426)+SUMIFS(PRODUCTION_REPORT!K:K,PRODUCTION_REPORT!J:J,A426)+SUMIFS(PRODUCTION_REPORT!M:M,PRODUCTION_REPORT!L:L,A426)+SUMIFS(PRODUCTION_REPORT!O:O,PRODUCTION_REPORT!N:N,A426))</f>
        <v/>
      </c>
      <c r="E426" t="str">
        <f t="shared" si="12"/>
        <v/>
      </c>
      <c r="F426" t="str">
        <f>IF(A426="","",_xludf.XLOOKUP(A426,MASTER_RAW_MATERIALS!B:B,MASTER_RAW_MATERIALS!E:E,0))</f>
        <v/>
      </c>
      <c r="G426" t="str">
        <f t="shared" si="13"/>
        <v/>
      </c>
    </row>
    <row r="427" spans="1:7" x14ac:dyDescent="0.2">
      <c r="A427" t="str">
        <f>IF(MASTER_RAW_MATERIALS!B427="","",MASTER_RAW_MATERIALS!B427)</f>
        <v/>
      </c>
      <c r="B427" t="str">
        <f>IF(A427="","",MASTER_RAW_MATERIALS!D427)</f>
        <v/>
      </c>
      <c r="C427" t="str">
        <f>IF(A427="","",SUMIFS(PURCHASES!E:E,PURCHASES!D:D,A427))</f>
        <v/>
      </c>
      <c r="D427" t="str">
        <f>IF(A427="","",SUMIFS(PRODUCTION_REPORT!E:E,PRODUCTION_REPORT!D:D,A427)+SUMIFS(PRODUCTION_REPORT!G:G,PRODUCTION_REPORT!F:F,A427)+SUMIFS(PRODUCTION_REPORT!I:I,PRODUCTION_REPORT!H:H,A427)+SUMIFS(PRODUCTION_REPORT!K:K,PRODUCTION_REPORT!J:J,A427)+SUMIFS(PRODUCTION_REPORT!M:M,PRODUCTION_REPORT!L:L,A427)+SUMIFS(PRODUCTION_REPORT!O:O,PRODUCTION_REPORT!N:N,A427))</f>
        <v/>
      </c>
      <c r="E427" t="str">
        <f t="shared" si="12"/>
        <v/>
      </c>
      <c r="F427" t="str">
        <f>IF(A427="","",_xludf.XLOOKUP(A427,MASTER_RAW_MATERIALS!B:B,MASTER_RAW_MATERIALS!E:E,0))</f>
        <v/>
      </c>
      <c r="G427" t="str">
        <f t="shared" si="13"/>
        <v/>
      </c>
    </row>
    <row r="428" spans="1:7" x14ac:dyDescent="0.2">
      <c r="A428" t="str">
        <f>IF(MASTER_RAW_MATERIALS!B428="","",MASTER_RAW_MATERIALS!B428)</f>
        <v/>
      </c>
      <c r="B428" t="str">
        <f>IF(A428="","",MASTER_RAW_MATERIALS!D428)</f>
        <v/>
      </c>
      <c r="C428" t="str">
        <f>IF(A428="","",SUMIFS(PURCHASES!E:E,PURCHASES!D:D,A428))</f>
        <v/>
      </c>
      <c r="D428" t="str">
        <f>IF(A428="","",SUMIFS(PRODUCTION_REPORT!E:E,PRODUCTION_REPORT!D:D,A428)+SUMIFS(PRODUCTION_REPORT!G:G,PRODUCTION_REPORT!F:F,A428)+SUMIFS(PRODUCTION_REPORT!I:I,PRODUCTION_REPORT!H:H,A428)+SUMIFS(PRODUCTION_REPORT!K:K,PRODUCTION_REPORT!J:J,A428)+SUMIFS(PRODUCTION_REPORT!M:M,PRODUCTION_REPORT!L:L,A428)+SUMIFS(PRODUCTION_REPORT!O:O,PRODUCTION_REPORT!N:N,A428))</f>
        <v/>
      </c>
      <c r="E428" t="str">
        <f t="shared" si="12"/>
        <v/>
      </c>
      <c r="F428" t="str">
        <f>IF(A428="","",_xludf.XLOOKUP(A428,MASTER_RAW_MATERIALS!B:B,MASTER_RAW_MATERIALS!E:E,0))</f>
        <v/>
      </c>
      <c r="G428" t="str">
        <f t="shared" si="13"/>
        <v/>
      </c>
    </row>
    <row r="429" spans="1:7" x14ac:dyDescent="0.2">
      <c r="A429" t="str">
        <f>IF(MASTER_RAW_MATERIALS!B429="","",MASTER_RAW_MATERIALS!B429)</f>
        <v/>
      </c>
      <c r="B429" t="str">
        <f>IF(A429="","",MASTER_RAW_MATERIALS!D429)</f>
        <v/>
      </c>
      <c r="C429" t="str">
        <f>IF(A429="","",SUMIFS(PURCHASES!E:E,PURCHASES!D:D,A429))</f>
        <v/>
      </c>
      <c r="D429" t="str">
        <f>IF(A429="","",SUMIFS(PRODUCTION_REPORT!E:E,PRODUCTION_REPORT!D:D,A429)+SUMIFS(PRODUCTION_REPORT!G:G,PRODUCTION_REPORT!F:F,A429)+SUMIFS(PRODUCTION_REPORT!I:I,PRODUCTION_REPORT!H:H,A429)+SUMIFS(PRODUCTION_REPORT!K:K,PRODUCTION_REPORT!J:J,A429)+SUMIFS(PRODUCTION_REPORT!M:M,PRODUCTION_REPORT!L:L,A429)+SUMIFS(PRODUCTION_REPORT!O:O,PRODUCTION_REPORT!N:N,A429))</f>
        <v/>
      </c>
      <c r="E429" t="str">
        <f t="shared" si="12"/>
        <v/>
      </c>
      <c r="F429" t="str">
        <f>IF(A429="","",_xludf.XLOOKUP(A429,MASTER_RAW_MATERIALS!B:B,MASTER_RAW_MATERIALS!E:E,0))</f>
        <v/>
      </c>
      <c r="G429" t="str">
        <f t="shared" si="13"/>
        <v/>
      </c>
    </row>
    <row r="430" spans="1:7" x14ac:dyDescent="0.2">
      <c r="A430" t="str">
        <f>IF(MASTER_RAW_MATERIALS!B430="","",MASTER_RAW_MATERIALS!B430)</f>
        <v/>
      </c>
      <c r="B430" t="str">
        <f>IF(A430="","",MASTER_RAW_MATERIALS!D430)</f>
        <v/>
      </c>
      <c r="C430" t="str">
        <f>IF(A430="","",SUMIFS(PURCHASES!E:E,PURCHASES!D:D,A430))</f>
        <v/>
      </c>
      <c r="D430" t="str">
        <f>IF(A430="","",SUMIFS(PRODUCTION_REPORT!E:E,PRODUCTION_REPORT!D:D,A430)+SUMIFS(PRODUCTION_REPORT!G:G,PRODUCTION_REPORT!F:F,A430)+SUMIFS(PRODUCTION_REPORT!I:I,PRODUCTION_REPORT!H:H,A430)+SUMIFS(PRODUCTION_REPORT!K:K,PRODUCTION_REPORT!J:J,A430)+SUMIFS(PRODUCTION_REPORT!M:M,PRODUCTION_REPORT!L:L,A430)+SUMIFS(PRODUCTION_REPORT!O:O,PRODUCTION_REPORT!N:N,A430))</f>
        <v/>
      </c>
      <c r="E430" t="str">
        <f t="shared" si="12"/>
        <v/>
      </c>
      <c r="F430" t="str">
        <f>IF(A430="","",_xludf.XLOOKUP(A430,MASTER_RAW_MATERIALS!B:B,MASTER_RAW_MATERIALS!E:E,0))</f>
        <v/>
      </c>
      <c r="G430" t="str">
        <f t="shared" si="13"/>
        <v/>
      </c>
    </row>
    <row r="431" spans="1:7" x14ac:dyDescent="0.2">
      <c r="A431" t="str">
        <f>IF(MASTER_RAW_MATERIALS!B431="","",MASTER_RAW_MATERIALS!B431)</f>
        <v/>
      </c>
      <c r="B431" t="str">
        <f>IF(A431="","",MASTER_RAW_MATERIALS!D431)</f>
        <v/>
      </c>
      <c r="C431" t="str">
        <f>IF(A431="","",SUMIFS(PURCHASES!E:E,PURCHASES!D:D,A431))</f>
        <v/>
      </c>
      <c r="D431" t="str">
        <f>IF(A431="","",SUMIFS(PRODUCTION_REPORT!E:E,PRODUCTION_REPORT!D:D,A431)+SUMIFS(PRODUCTION_REPORT!G:G,PRODUCTION_REPORT!F:F,A431)+SUMIFS(PRODUCTION_REPORT!I:I,PRODUCTION_REPORT!H:H,A431)+SUMIFS(PRODUCTION_REPORT!K:K,PRODUCTION_REPORT!J:J,A431)+SUMIFS(PRODUCTION_REPORT!M:M,PRODUCTION_REPORT!L:L,A431)+SUMIFS(PRODUCTION_REPORT!O:O,PRODUCTION_REPORT!N:N,A431))</f>
        <v/>
      </c>
      <c r="E431" t="str">
        <f t="shared" si="12"/>
        <v/>
      </c>
      <c r="F431" t="str">
        <f>IF(A431="","",_xludf.XLOOKUP(A431,MASTER_RAW_MATERIALS!B:B,MASTER_RAW_MATERIALS!E:E,0))</f>
        <v/>
      </c>
      <c r="G431" t="str">
        <f t="shared" si="13"/>
        <v/>
      </c>
    </row>
    <row r="432" spans="1:7" x14ac:dyDescent="0.2">
      <c r="A432" t="str">
        <f>IF(MASTER_RAW_MATERIALS!B432="","",MASTER_RAW_MATERIALS!B432)</f>
        <v/>
      </c>
      <c r="B432" t="str">
        <f>IF(A432="","",MASTER_RAW_MATERIALS!D432)</f>
        <v/>
      </c>
      <c r="C432" t="str">
        <f>IF(A432="","",SUMIFS(PURCHASES!E:E,PURCHASES!D:D,A432))</f>
        <v/>
      </c>
      <c r="D432" t="str">
        <f>IF(A432="","",SUMIFS(PRODUCTION_REPORT!E:E,PRODUCTION_REPORT!D:D,A432)+SUMIFS(PRODUCTION_REPORT!G:G,PRODUCTION_REPORT!F:F,A432)+SUMIFS(PRODUCTION_REPORT!I:I,PRODUCTION_REPORT!H:H,A432)+SUMIFS(PRODUCTION_REPORT!K:K,PRODUCTION_REPORT!J:J,A432)+SUMIFS(PRODUCTION_REPORT!M:M,PRODUCTION_REPORT!L:L,A432)+SUMIFS(PRODUCTION_REPORT!O:O,PRODUCTION_REPORT!N:N,A432))</f>
        <v/>
      </c>
      <c r="E432" t="str">
        <f t="shared" si="12"/>
        <v/>
      </c>
      <c r="F432" t="str">
        <f>IF(A432="","",_xludf.XLOOKUP(A432,MASTER_RAW_MATERIALS!B:B,MASTER_RAW_MATERIALS!E:E,0))</f>
        <v/>
      </c>
      <c r="G432" t="str">
        <f t="shared" si="13"/>
        <v/>
      </c>
    </row>
    <row r="433" spans="1:7" x14ac:dyDescent="0.2">
      <c r="A433" t="str">
        <f>IF(MASTER_RAW_MATERIALS!B433="","",MASTER_RAW_MATERIALS!B433)</f>
        <v/>
      </c>
      <c r="B433" t="str">
        <f>IF(A433="","",MASTER_RAW_MATERIALS!D433)</f>
        <v/>
      </c>
      <c r="C433" t="str">
        <f>IF(A433="","",SUMIFS(PURCHASES!E:E,PURCHASES!D:D,A433))</f>
        <v/>
      </c>
      <c r="D433" t="str">
        <f>IF(A433="","",SUMIFS(PRODUCTION_REPORT!E:E,PRODUCTION_REPORT!D:D,A433)+SUMIFS(PRODUCTION_REPORT!G:G,PRODUCTION_REPORT!F:F,A433)+SUMIFS(PRODUCTION_REPORT!I:I,PRODUCTION_REPORT!H:H,A433)+SUMIFS(PRODUCTION_REPORT!K:K,PRODUCTION_REPORT!J:J,A433)+SUMIFS(PRODUCTION_REPORT!M:M,PRODUCTION_REPORT!L:L,A433)+SUMIFS(PRODUCTION_REPORT!O:O,PRODUCTION_REPORT!N:N,A433))</f>
        <v/>
      </c>
      <c r="E433" t="str">
        <f t="shared" si="12"/>
        <v/>
      </c>
      <c r="F433" t="str">
        <f>IF(A433="","",_xludf.XLOOKUP(A433,MASTER_RAW_MATERIALS!B:B,MASTER_RAW_MATERIALS!E:E,0))</f>
        <v/>
      </c>
      <c r="G433" t="str">
        <f t="shared" si="13"/>
        <v/>
      </c>
    </row>
    <row r="434" spans="1:7" x14ac:dyDescent="0.2">
      <c r="A434" t="str">
        <f>IF(MASTER_RAW_MATERIALS!B434="","",MASTER_RAW_MATERIALS!B434)</f>
        <v/>
      </c>
      <c r="B434" t="str">
        <f>IF(A434="","",MASTER_RAW_MATERIALS!D434)</f>
        <v/>
      </c>
      <c r="C434" t="str">
        <f>IF(A434="","",SUMIFS(PURCHASES!E:E,PURCHASES!D:D,A434))</f>
        <v/>
      </c>
      <c r="D434" t="str">
        <f>IF(A434="","",SUMIFS(PRODUCTION_REPORT!E:E,PRODUCTION_REPORT!D:D,A434)+SUMIFS(PRODUCTION_REPORT!G:G,PRODUCTION_REPORT!F:F,A434)+SUMIFS(PRODUCTION_REPORT!I:I,PRODUCTION_REPORT!H:H,A434)+SUMIFS(PRODUCTION_REPORT!K:K,PRODUCTION_REPORT!J:J,A434)+SUMIFS(PRODUCTION_REPORT!M:M,PRODUCTION_REPORT!L:L,A434)+SUMIFS(PRODUCTION_REPORT!O:O,PRODUCTION_REPORT!N:N,A434))</f>
        <v/>
      </c>
      <c r="E434" t="str">
        <f t="shared" si="12"/>
        <v/>
      </c>
      <c r="F434" t="str">
        <f>IF(A434="","",_xludf.XLOOKUP(A434,MASTER_RAW_MATERIALS!B:B,MASTER_RAW_MATERIALS!E:E,0))</f>
        <v/>
      </c>
      <c r="G434" t="str">
        <f t="shared" si="13"/>
        <v/>
      </c>
    </row>
    <row r="435" spans="1:7" x14ac:dyDescent="0.2">
      <c r="A435" t="str">
        <f>IF(MASTER_RAW_MATERIALS!B435="","",MASTER_RAW_MATERIALS!B435)</f>
        <v/>
      </c>
      <c r="B435" t="str">
        <f>IF(A435="","",MASTER_RAW_MATERIALS!D435)</f>
        <v/>
      </c>
      <c r="C435" t="str">
        <f>IF(A435="","",SUMIFS(PURCHASES!E:E,PURCHASES!D:D,A435))</f>
        <v/>
      </c>
      <c r="D435" t="str">
        <f>IF(A435="","",SUMIFS(PRODUCTION_REPORT!E:E,PRODUCTION_REPORT!D:D,A435)+SUMIFS(PRODUCTION_REPORT!G:G,PRODUCTION_REPORT!F:F,A435)+SUMIFS(PRODUCTION_REPORT!I:I,PRODUCTION_REPORT!H:H,A435)+SUMIFS(PRODUCTION_REPORT!K:K,PRODUCTION_REPORT!J:J,A435)+SUMIFS(PRODUCTION_REPORT!M:M,PRODUCTION_REPORT!L:L,A435)+SUMIFS(PRODUCTION_REPORT!O:O,PRODUCTION_REPORT!N:N,A435))</f>
        <v/>
      </c>
      <c r="E435" t="str">
        <f t="shared" si="12"/>
        <v/>
      </c>
      <c r="F435" t="str">
        <f>IF(A435="","",_xludf.XLOOKUP(A435,MASTER_RAW_MATERIALS!B:B,MASTER_RAW_MATERIALS!E:E,0))</f>
        <v/>
      </c>
      <c r="G435" t="str">
        <f t="shared" si="13"/>
        <v/>
      </c>
    </row>
    <row r="436" spans="1:7" x14ac:dyDescent="0.2">
      <c r="A436" t="str">
        <f>IF(MASTER_RAW_MATERIALS!B436="","",MASTER_RAW_MATERIALS!B436)</f>
        <v/>
      </c>
      <c r="B436" t="str">
        <f>IF(A436="","",MASTER_RAW_MATERIALS!D436)</f>
        <v/>
      </c>
      <c r="C436" t="str">
        <f>IF(A436="","",SUMIFS(PURCHASES!E:E,PURCHASES!D:D,A436))</f>
        <v/>
      </c>
      <c r="D436" t="str">
        <f>IF(A436="","",SUMIFS(PRODUCTION_REPORT!E:E,PRODUCTION_REPORT!D:D,A436)+SUMIFS(PRODUCTION_REPORT!G:G,PRODUCTION_REPORT!F:F,A436)+SUMIFS(PRODUCTION_REPORT!I:I,PRODUCTION_REPORT!H:H,A436)+SUMIFS(PRODUCTION_REPORT!K:K,PRODUCTION_REPORT!J:J,A436)+SUMIFS(PRODUCTION_REPORT!M:M,PRODUCTION_REPORT!L:L,A436)+SUMIFS(PRODUCTION_REPORT!O:O,PRODUCTION_REPORT!N:N,A436))</f>
        <v/>
      </c>
      <c r="E436" t="str">
        <f t="shared" si="12"/>
        <v/>
      </c>
      <c r="F436" t="str">
        <f>IF(A436="","",_xludf.XLOOKUP(A436,MASTER_RAW_MATERIALS!B:B,MASTER_RAW_MATERIALS!E:E,0))</f>
        <v/>
      </c>
      <c r="G436" t="str">
        <f t="shared" si="13"/>
        <v/>
      </c>
    </row>
    <row r="437" spans="1:7" x14ac:dyDescent="0.2">
      <c r="A437" t="str">
        <f>IF(MASTER_RAW_MATERIALS!B437="","",MASTER_RAW_MATERIALS!B437)</f>
        <v/>
      </c>
      <c r="B437" t="str">
        <f>IF(A437="","",MASTER_RAW_MATERIALS!D437)</f>
        <v/>
      </c>
      <c r="C437" t="str">
        <f>IF(A437="","",SUMIFS(PURCHASES!E:E,PURCHASES!D:D,A437))</f>
        <v/>
      </c>
      <c r="D437" t="str">
        <f>IF(A437="","",SUMIFS(PRODUCTION_REPORT!E:E,PRODUCTION_REPORT!D:D,A437)+SUMIFS(PRODUCTION_REPORT!G:G,PRODUCTION_REPORT!F:F,A437)+SUMIFS(PRODUCTION_REPORT!I:I,PRODUCTION_REPORT!H:H,A437)+SUMIFS(PRODUCTION_REPORT!K:K,PRODUCTION_REPORT!J:J,A437)+SUMIFS(PRODUCTION_REPORT!M:M,PRODUCTION_REPORT!L:L,A437)+SUMIFS(PRODUCTION_REPORT!O:O,PRODUCTION_REPORT!N:N,A437))</f>
        <v/>
      </c>
      <c r="E437" t="str">
        <f t="shared" si="12"/>
        <v/>
      </c>
      <c r="F437" t="str">
        <f>IF(A437="","",_xludf.XLOOKUP(A437,MASTER_RAW_MATERIALS!B:B,MASTER_RAW_MATERIALS!E:E,0))</f>
        <v/>
      </c>
      <c r="G437" t="str">
        <f t="shared" si="13"/>
        <v/>
      </c>
    </row>
    <row r="438" spans="1:7" x14ac:dyDescent="0.2">
      <c r="A438" t="str">
        <f>IF(MASTER_RAW_MATERIALS!B438="","",MASTER_RAW_MATERIALS!B438)</f>
        <v/>
      </c>
      <c r="B438" t="str">
        <f>IF(A438="","",MASTER_RAW_MATERIALS!D438)</f>
        <v/>
      </c>
      <c r="C438" t="str">
        <f>IF(A438="","",SUMIFS(PURCHASES!E:E,PURCHASES!D:D,A438))</f>
        <v/>
      </c>
      <c r="D438" t="str">
        <f>IF(A438="","",SUMIFS(PRODUCTION_REPORT!E:E,PRODUCTION_REPORT!D:D,A438)+SUMIFS(PRODUCTION_REPORT!G:G,PRODUCTION_REPORT!F:F,A438)+SUMIFS(PRODUCTION_REPORT!I:I,PRODUCTION_REPORT!H:H,A438)+SUMIFS(PRODUCTION_REPORT!K:K,PRODUCTION_REPORT!J:J,A438)+SUMIFS(PRODUCTION_REPORT!M:M,PRODUCTION_REPORT!L:L,A438)+SUMIFS(PRODUCTION_REPORT!O:O,PRODUCTION_REPORT!N:N,A438))</f>
        <v/>
      </c>
      <c r="E438" t="str">
        <f t="shared" si="12"/>
        <v/>
      </c>
      <c r="F438" t="str">
        <f>IF(A438="","",_xludf.XLOOKUP(A438,MASTER_RAW_MATERIALS!B:B,MASTER_RAW_MATERIALS!E:E,0))</f>
        <v/>
      </c>
      <c r="G438" t="str">
        <f t="shared" si="13"/>
        <v/>
      </c>
    </row>
    <row r="439" spans="1:7" x14ac:dyDescent="0.2">
      <c r="A439" t="str">
        <f>IF(MASTER_RAW_MATERIALS!B439="","",MASTER_RAW_MATERIALS!B439)</f>
        <v/>
      </c>
      <c r="B439" t="str">
        <f>IF(A439="","",MASTER_RAW_MATERIALS!D439)</f>
        <v/>
      </c>
      <c r="C439" t="str">
        <f>IF(A439="","",SUMIFS(PURCHASES!E:E,PURCHASES!D:D,A439))</f>
        <v/>
      </c>
      <c r="D439" t="str">
        <f>IF(A439="","",SUMIFS(PRODUCTION_REPORT!E:E,PRODUCTION_REPORT!D:D,A439)+SUMIFS(PRODUCTION_REPORT!G:G,PRODUCTION_REPORT!F:F,A439)+SUMIFS(PRODUCTION_REPORT!I:I,PRODUCTION_REPORT!H:H,A439)+SUMIFS(PRODUCTION_REPORT!K:K,PRODUCTION_REPORT!J:J,A439)+SUMIFS(PRODUCTION_REPORT!M:M,PRODUCTION_REPORT!L:L,A439)+SUMIFS(PRODUCTION_REPORT!O:O,PRODUCTION_REPORT!N:N,A439))</f>
        <v/>
      </c>
      <c r="E439" t="str">
        <f t="shared" si="12"/>
        <v/>
      </c>
      <c r="F439" t="str">
        <f>IF(A439="","",_xludf.XLOOKUP(A439,MASTER_RAW_MATERIALS!B:B,MASTER_RAW_MATERIALS!E:E,0))</f>
        <v/>
      </c>
      <c r="G439" t="str">
        <f t="shared" si="13"/>
        <v/>
      </c>
    </row>
    <row r="440" spans="1:7" x14ac:dyDescent="0.2">
      <c r="A440" t="str">
        <f>IF(MASTER_RAW_MATERIALS!B440="","",MASTER_RAW_MATERIALS!B440)</f>
        <v/>
      </c>
      <c r="B440" t="str">
        <f>IF(A440="","",MASTER_RAW_MATERIALS!D440)</f>
        <v/>
      </c>
      <c r="C440" t="str">
        <f>IF(A440="","",SUMIFS(PURCHASES!E:E,PURCHASES!D:D,A440))</f>
        <v/>
      </c>
      <c r="D440" t="str">
        <f>IF(A440="","",SUMIFS(PRODUCTION_REPORT!E:E,PRODUCTION_REPORT!D:D,A440)+SUMIFS(PRODUCTION_REPORT!G:G,PRODUCTION_REPORT!F:F,A440)+SUMIFS(PRODUCTION_REPORT!I:I,PRODUCTION_REPORT!H:H,A440)+SUMIFS(PRODUCTION_REPORT!K:K,PRODUCTION_REPORT!J:J,A440)+SUMIFS(PRODUCTION_REPORT!M:M,PRODUCTION_REPORT!L:L,A440)+SUMIFS(PRODUCTION_REPORT!O:O,PRODUCTION_REPORT!N:N,A440))</f>
        <v/>
      </c>
      <c r="E440" t="str">
        <f t="shared" si="12"/>
        <v/>
      </c>
      <c r="F440" t="str">
        <f>IF(A440="","",_xludf.XLOOKUP(A440,MASTER_RAW_MATERIALS!B:B,MASTER_RAW_MATERIALS!E:E,0))</f>
        <v/>
      </c>
      <c r="G440" t="str">
        <f t="shared" si="13"/>
        <v/>
      </c>
    </row>
    <row r="441" spans="1:7" x14ac:dyDescent="0.2">
      <c r="A441" t="str">
        <f>IF(MASTER_RAW_MATERIALS!B441="","",MASTER_RAW_MATERIALS!B441)</f>
        <v/>
      </c>
      <c r="B441" t="str">
        <f>IF(A441="","",MASTER_RAW_MATERIALS!D441)</f>
        <v/>
      </c>
      <c r="C441" t="str">
        <f>IF(A441="","",SUMIFS(PURCHASES!E:E,PURCHASES!D:D,A441))</f>
        <v/>
      </c>
      <c r="D441" t="str">
        <f>IF(A441="","",SUMIFS(PRODUCTION_REPORT!E:E,PRODUCTION_REPORT!D:D,A441)+SUMIFS(PRODUCTION_REPORT!G:G,PRODUCTION_REPORT!F:F,A441)+SUMIFS(PRODUCTION_REPORT!I:I,PRODUCTION_REPORT!H:H,A441)+SUMIFS(PRODUCTION_REPORT!K:K,PRODUCTION_REPORT!J:J,A441)+SUMIFS(PRODUCTION_REPORT!M:M,PRODUCTION_REPORT!L:L,A441)+SUMIFS(PRODUCTION_REPORT!O:O,PRODUCTION_REPORT!N:N,A441))</f>
        <v/>
      </c>
      <c r="E441" t="str">
        <f t="shared" si="12"/>
        <v/>
      </c>
      <c r="F441" t="str">
        <f>IF(A441="","",_xludf.XLOOKUP(A441,MASTER_RAW_MATERIALS!B:B,MASTER_RAW_MATERIALS!E:E,0))</f>
        <v/>
      </c>
      <c r="G441" t="str">
        <f t="shared" si="13"/>
        <v/>
      </c>
    </row>
    <row r="442" spans="1:7" x14ac:dyDescent="0.2">
      <c r="A442" t="str">
        <f>IF(MASTER_RAW_MATERIALS!B442="","",MASTER_RAW_MATERIALS!B442)</f>
        <v/>
      </c>
      <c r="B442" t="str">
        <f>IF(A442="","",MASTER_RAW_MATERIALS!D442)</f>
        <v/>
      </c>
      <c r="C442" t="str">
        <f>IF(A442="","",SUMIFS(PURCHASES!E:E,PURCHASES!D:D,A442))</f>
        <v/>
      </c>
      <c r="D442" t="str">
        <f>IF(A442="","",SUMIFS(PRODUCTION_REPORT!E:E,PRODUCTION_REPORT!D:D,A442)+SUMIFS(PRODUCTION_REPORT!G:G,PRODUCTION_REPORT!F:F,A442)+SUMIFS(PRODUCTION_REPORT!I:I,PRODUCTION_REPORT!H:H,A442)+SUMIFS(PRODUCTION_REPORT!K:K,PRODUCTION_REPORT!J:J,A442)+SUMIFS(PRODUCTION_REPORT!M:M,PRODUCTION_REPORT!L:L,A442)+SUMIFS(PRODUCTION_REPORT!O:O,PRODUCTION_REPORT!N:N,A442))</f>
        <v/>
      </c>
      <c r="E442" t="str">
        <f t="shared" si="12"/>
        <v/>
      </c>
      <c r="F442" t="str">
        <f>IF(A442="","",_xludf.XLOOKUP(A442,MASTER_RAW_MATERIALS!B:B,MASTER_RAW_MATERIALS!E:E,0))</f>
        <v/>
      </c>
      <c r="G442" t="str">
        <f t="shared" si="13"/>
        <v/>
      </c>
    </row>
    <row r="443" spans="1:7" x14ac:dyDescent="0.2">
      <c r="A443" t="str">
        <f>IF(MASTER_RAW_MATERIALS!B443="","",MASTER_RAW_MATERIALS!B443)</f>
        <v/>
      </c>
      <c r="B443" t="str">
        <f>IF(A443="","",MASTER_RAW_MATERIALS!D443)</f>
        <v/>
      </c>
      <c r="C443" t="str">
        <f>IF(A443="","",SUMIFS(PURCHASES!E:E,PURCHASES!D:D,A443))</f>
        <v/>
      </c>
      <c r="D443" t="str">
        <f>IF(A443="","",SUMIFS(PRODUCTION_REPORT!E:E,PRODUCTION_REPORT!D:D,A443)+SUMIFS(PRODUCTION_REPORT!G:G,PRODUCTION_REPORT!F:F,A443)+SUMIFS(PRODUCTION_REPORT!I:I,PRODUCTION_REPORT!H:H,A443)+SUMIFS(PRODUCTION_REPORT!K:K,PRODUCTION_REPORT!J:J,A443)+SUMIFS(PRODUCTION_REPORT!M:M,PRODUCTION_REPORT!L:L,A443)+SUMIFS(PRODUCTION_REPORT!O:O,PRODUCTION_REPORT!N:N,A443))</f>
        <v/>
      </c>
      <c r="E443" t="str">
        <f t="shared" si="12"/>
        <v/>
      </c>
      <c r="F443" t="str">
        <f>IF(A443="","",_xludf.XLOOKUP(A443,MASTER_RAW_MATERIALS!B:B,MASTER_RAW_MATERIALS!E:E,0))</f>
        <v/>
      </c>
      <c r="G443" t="str">
        <f t="shared" si="13"/>
        <v/>
      </c>
    </row>
    <row r="444" spans="1:7" x14ac:dyDescent="0.2">
      <c r="A444" t="str">
        <f>IF(MASTER_RAW_MATERIALS!B444="","",MASTER_RAW_MATERIALS!B444)</f>
        <v/>
      </c>
      <c r="B444" t="str">
        <f>IF(A444="","",MASTER_RAW_MATERIALS!D444)</f>
        <v/>
      </c>
      <c r="C444" t="str">
        <f>IF(A444="","",SUMIFS(PURCHASES!E:E,PURCHASES!D:D,A444))</f>
        <v/>
      </c>
      <c r="D444" t="str">
        <f>IF(A444="","",SUMIFS(PRODUCTION_REPORT!E:E,PRODUCTION_REPORT!D:D,A444)+SUMIFS(PRODUCTION_REPORT!G:G,PRODUCTION_REPORT!F:F,A444)+SUMIFS(PRODUCTION_REPORT!I:I,PRODUCTION_REPORT!H:H,A444)+SUMIFS(PRODUCTION_REPORT!K:K,PRODUCTION_REPORT!J:J,A444)+SUMIFS(PRODUCTION_REPORT!M:M,PRODUCTION_REPORT!L:L,A444)+SUMIFS(PRODUCTION_REPORT!O:O,PRODUCTION_REPORT!N:N,A444))</f>
        <v/>
      </c>
      <c r="E444" t="str">
        <f t="shared" si="12"/>
        <v/>
      </c>
      <c r="F444" t="str">
        <f>IF(A444="","",_xludf.XLOOKUP(A444,MASTER_RAW_MATERIALS!B:B,MASTER_RAW_MATERIALS!E:E,0))</f>
        <v/>
      </c>
      <c r="G444" t="str">
        <f t="shared" si="13"/>
        <v/>
      </c>
    </row>
    <row r="445" spans="1:7" x14ac:dyDescent="0.2">
      <c r="A445" t="str">
        <f>IF(MASTER_RAW_MATERIALS!B445="","",MASTER_RAW_MATERIALS!B445)</f>
        <v/>
      </c>
      <c r="B445" t="str">
        <f>IF(A445="","",MASTER_RAW_MATERIALS!D445)</f>
        <v/>
      </c>
      <c r="C445" t="str">
        <f>IF(A445="","",SUMIFS(PURCHASES!E:E,PURCHASES!D:D,A445))</f>
        <v/>
      </c>
      <c r="D445" t="str">
        <f>IF(A445="","",SUMIFS(PRODUCTION_REPORT!E:E,PRODUCTION_REPORT!D:D,A445)+SUMIFS(PRODUCTION_REPORT!G:G,PRODUCTION_REPORT!F:F,A445)+SUMIFS(PRODUCTION_REPORT!I:I,PRODUCTION_REPORT!H:H,A445)+SUMIFS(PRODUCTION_REPORT!K:K,PRODUCTION_REPORT!J:J,A445)+SUMIFS(PRODUCTION_REPORT!M:M,PRODUCTION_REPORT!L:L,A445)+SUMIFS(PRODUCTION_REPORT!O:O,PRODUCTION_REPORT!N:N,A445))</f>
        <v/>
      </c>
      <c r="E445" t="str">
        <f t="shared" si="12"/>
        <v/>
      </c>
      <c r="F445" t="str">
        <f>IF(A445="","",_xludf.XLOOKUP(A445,MASTER_RAW_MATERIALS!B:B,MASTER_RAW_MATERIALS!E:E,0))</f>
        <v/>
      </c>
      <c r="G445" t="str">
        <f t="shared" si="13"/>
        <v/>
      </c>
    </row>
    <row r="446" spans="1:7" x14ac:dyDescent="0.2">
      <c r="A446" t="str">
        <f>IF(MASTER_RAW_MATERIALS!B446="","",MASTER_RAW_MATERIALS!B446)</f>
        <v/>
      </c>
      <c r="B446" t="str">
        <f>IF(A446="","",MASTER_RAW_MATERIALS!D446)</f>
        <v/>
      </c>
      <c r="C446" t="str">
        <f>IF(A446="","",SUMIFS(PURCHASES!E:E,PURCHASES!D:D,A446))</f>
        <v/>
      </c>
      <c r="D446" t="str">
        <f>IF(A446="","",SUMIFS(PRODUCTION_REPORT!E:E,PRODUCTION_REPORT!D:D,A446)+SUMIFS(PRODUCTION_REPORT!G:G,PRODUCTION_REPORT!F:F,A446)+SUMIFS(PRODUCTION_REPORT!I:I,PRODUCTION_REPORT!H:H,A446)+SUMIFS(PRODUCTION_REPORT!K:K,PRODUCTION_REPORT!J:J,A446)+SUMIFS(PRODUCTION_REPORT!M:M,PRODUCTION_REPORT!L:L,A446)+SUMIFS(PRODUCTION_REPORT!O:O,PRODUCTION_REPORT!N:N,A446))</f>
        <v/>
      </c>
      <c r="E446" t="str">
        <f t="shared" si="12"/>
        <v/>
      </c>
      <c r="F446" t="str">
        <f>IF(A446="","",_xludf.XLOOKUP(A446,MASTER_RAW_MATERIALS!B:B,MASTER_RAW_MATERIALS!E:E,0))</f>
        <v/>
      </c>
      <c r="G446" t="str">
        <f t="shared" si="13"/>
        <v/>
      </c>
    </row>
    <row r="447" spans="1:7" x14ac:dyDescent="0.2">
      <c r="A447" t="str">
        <f>IF(MASTER_RAW_MATERIALS!B447="","",MASTER_RAW_MATERIALS!B447)</f>
        <v/>
      </c>
      <c r="B447" t="str">
        <f>IF(A447="","",MASTER_RAW_MATERIALS!D447)</f>
        <v/>
      </c>
      <c r="C447" t="str">
        <f>IF(A447="","",SUMIFS(PURCHASES!E:E,PURCHASES!D:D,A447))</f>
        <v/>
      </c>
      <c r="D447" t="str">
        <f>IF(A447="","",SUMIFS(PRODUCTION_REPORT!E:E,PRODUCTION_REPORT!D:D,A447)+SUMIFS(PRODUCTION_REPORT!G:G,PRODUCTION_REPORT!F:F,A447)+SUMIFS(PRODUCTION_REPORT!I:I,PRODUCTION_REPORT!H:H,A447)+SUMIFS(PRODUCTION_REPORT!K:K,PRODUCTION_REPORT!J:J,A447)+SUMIFS(PRODUCTION_REPORT!M:M,PRODUCTION_REPORT!L:L,A447)+SUMIFS(PRODUCTION_REPORT!O:O,PRODUCTION_REPORT!N:N,A447))</f>
        <v/>
      </c>
      <c r="E447" t="str">
        <f t="shared" si="12"/>
        <v/>
      </c>
      <c r="F447" t="str">
        <f>IF(A447="","",_xludf.XLOOKUP(A447,MASTER_RAW_MATERIALS!B:B,MASTER_RAW_MATERIALS!E:E,0))</f>
        <v/>
      </c>
      <c r="G447" t="str">
        <f t="shared" si="13"/>
        <v/>
      </c>
    </row>
    <row r="448" spans="1:7" x14ac:dyDescent="0.2">
      <c r="A448" t="str">
        <f>IF(MASTER_RAW_MATERIALS!B448="","",MASTER_RAW_MATERIALS!B448)</f>
        <v/>
      </c>
      <c r="B448" t="str">
        <f>IF(A448="","",MASTER_RAW_MATERIALS!D448)</f>
        <v/>
      </c>
      <c r="C448" t="str">
        <f>IF(A448="","",SUMIFS(PURCHASES!E:E,PURCHASES!D:D,A448))</f>
        <v/>
      </c>
      <c r="D448" t="str">
        <f>IF(A448="","",SUMIFS(PRODUCTION_REPORT!E:E,PRODUCTION_REPORT!D:D,A448)+SUMIFS(PRODUCTION_REPORT!G:G,PRODUCTION_REPORT!F:F,A448)+SUMIFS(PRODUCTION_REPORT!I:I,PRODUCTION_REPORT!H:H,A448)+SUMIFS(PRODUCTION_REPORT!K:K,PRODUCTION_REPORT!J:J,A448)+SUMIFS(PRODUCTION_REPORT!M:M,PRODUCTION_REPORT!L:L,A448)+SUMIFS(PRODUCTION_REPORT!O:O,PRODUCTION_REPORT!N:N,A448))</f>
        <v/>
      </c>
      <c r="E448" t="str">
        <f t="shared" si="12"/>
        <v/>
      </c>
      <c r="F448" t="str">
        <f>IF(A448="","",_xludf.XLOOKUP(A448,MASTER_RAW_MATERIALS!B:B,MASTER_RAW_MATERIALS!E:E,0))</f>
        <v/>
      </c>
      <c r="G448" t="str">
        <f t="shared" si="13"/>
        <v/>
      </c>
    </row>
    <row r="449" spans="1:7" x14ac:dyDescent="0.2">
      <c r="A449" t="str">
        <f>IF(MASTER_RAW_MATERIALS!B449="","",MASTER_RAW_MATERIALS!B449)</f>
        <v/>
      </c>
      <c r="B449" t="str">
        <f>IF(A449="","",MASTER_RAW_MATERIALS!D449)</f>
        <v/>
      </c>
      <c r="C449" t="str">
        <f>IF(A449="","",SUMIFS(PURCHASES!E:E,PURCHASES!D:D,A449))</f>
        <v/>
      </c>
      <c r="D449" t="str">
        <f>IF(A449="","",SUMIFS(PRODUCTION_REPORT!E:E,PRODUCTION_REPORT!D:D,A449)+SUMIFS(PRODUCTION_REPORT!G:G,PRODUCTION_REPORT!F:F,A449)+SUMIFS(PRODUCTION_REPORT!I:I,PRODUCTION_REPORT!H:H,A449)+SUMIFS(PRODUCTION_REPORT!K:K,PRODUCTION_REPORT!J:J,A449)+SUMIFS(PRODUCTION_REPORT!M:M,PRODUCTION_REPORT!L:L,A449)+SUMIFS(PRODUCTION_REPORT!O:O,PRODUCTION_REPORT!N:N,A449))</f>
        <v/>
      </c>
      <c r="E449" t="str">
        <f t="shared" si="12"/>
        <v/>
      </c>
      <c r="F449" t="str">
        <f>IF(A449="","",_xludf.XLOOKUP(A449,MASTER_RAW_MATERIALS!B:B,MASTER_RAW_MATERIALS!E:E,0))</f>
        <v/>
      </c>
      <c r="G449" t="str">
        <f t="shared" si="13"/>
        <v/>
      </c>
    </row>
    <row r="450" spans="1:7" x14ac:dyDescent="0.2">
      <c r="A450" t="str">
        <f>IF(MASTER_RAW_MATERIALS!B450="","",MASTER_RAW_MATERIALS!B450)</f>
        <v/>
      </c>
      <c r="B450" t="str">
        <f>IF(A450="","",MASTER_RAW_MATERIALS!D450)</f>
        <v/>
      </c>
      <c r="C450" t="str">
        <f>IF(A450="","",SUMIFS(PURCHASES!E:E,PURCHASES!D:D,A450))</f>
        <v/>
      </c>
      <c r="D450" t="str">
        <f>IF(A450="","",SUMIFS(PRODUCTION_REPORT!E:E,PRODUCTION_REPORT!D:D,A450)+SUMIFS(PRODUCTION_REPORT!G:G,PRODUCTION_REPORT!F:F,A450)+SUMIFS(PRODUCTION_REPORT!I:I,PRODUCTION_REPORT!H:H,A450)+SUMIFS(PRODUCTION_REPORT!K:K,PRODUCTION_REPORT!J:J,A450)+SUMIFS(PRODUCTION_REPORT!M:M,PRODUCTION_REPORT!L:L,A450)+SUMIFS(PRODUCTION_REPORT!O:O,PRODUCTION_REPORT!N:N,A450))</f>
        <v/>
      </c>
      <c r="E450" t="str">
        <f t="shared" ref="E450:E499" si="14">IF(A450="","",B450+C450-D450)</f>
        <v/>
      </c>
      <c r="F450" t="str">
        <f>IF(A450="","",_xludf.XLOOKUP(A450,MASTER_RAW_MATERIALS!B:B,MASTER_RAW_MATERIALS!E:E,0))</f>
        <v/>
      </c>
      <c r="G450" t="str">
        <f t="shared" ref="G450:G499" si="15">IF(A450="","",E450*F450)</f>
        <v/>
      </c>
    </row>
    <row r="451" spans="1:7" x14ac:dyDescent="0.2">
      <c r="A451" t="str">
        <f>IF(MASTER_RAW_MATERIALS!B451="","",MASTER_RAW_MATERIALS!B451)</f>
        <v/>
      </c>
      <c r="B451" t="str">
        <f>IF(A451="","",MASTER_RAW_MATERIALS!D451)</f>
        <v/>
      </c>
      <c r="C451" t="str">
        <f>IF(A451="","",SUMIFS(PURCHASES!E:E,PURCHASES!D:D,A451))</f>
        <v/>
      </c>
      <c r="D451" t="str">
        <f>IF(A451="","",SUMIFS(PRODUCTION_REPORT!E:E,PRODUCTION_REPORT!D:D,A451)+SUMIFS(PRODUCTION_REPORT!G:G,PRODUCTION_REPORT!F:F,A451)+SUMIFS(PRODUCTION_REPORT!I:I,PRODUCTION_REPORT!H:H,A451)+SUMIFS(PRODUCTION_REPORT!K:K,PRODUCTION_REPORT!J:J,A451)+SUMIFS(PRODUCTION_REPORT!M:M,PRODUCTION_REPORT!L:L,A451)+SUMIFS(PRODUCTION_REPORT!O:O,PRODUCTION_REPORT!N:N,A451))</f>
        <v/>
      </c>
      <c r="E451" t="str">
        <f t="shared" si="14"/>
        <v/>
      </c>
      <c r="F451" t="str">
        <f>IF(A451="","",_xludf.XLOOKUP(A451,MASTER_RAW_MATERIALS!B:B,MASTER_RAW_MATERIALS!E:E,0))</f>
        <v/>
      </c>
      <c r="G451" t="str">
        <f t="shared" si="15"/>
        <v/>
      </c>
    </row>
    <row r="452" spans="1:7" x14ac:dyDescent="0.2">
      <c r="A452" t="str">
        <f>IF(MASTER_RAW_MATERIALS!B452="","",MASTER_RAW_MATERIALS!B452)</f>
        <v/>
      </c>
      <c r="B452" t="str">
        <f>IF(A452="","",MASTER_RAW_MATERIALS!D452)</f>
        <v/>
      </c>
      <c r="C452" t="str">
        <f>IF(A452="","",SUMIFS(PURCHASES!E:E,PURCHASES!D:D,A452))</f>
        <v/>
      </c>
      <c r="D452" t="str">
        <f>IF(A452="","",SUMIFS(PRODUCTION_REPORT!E:E,PRODUCTION_REPORT!D:D,A452)+SUMIFS(PRODUCTION_REPORT!G:G,PRODUCTION_REPORT!F:F,A452)+SUMIFS(PRODUCTION_REPORT!I:I,PRODUCTION_REPORT!H:H,A452)+SUMIFS(PRODUCTION_REPORT!K:K,PRODUCTION_REPORT!J:J,A452)+SUMIFS(PRODUCTION_REPORT!M:M,PRODUCTION_REPORT!L:L,A452)+SUMIFS(PRODUCTION_REPORT!O:O,PRODUCTION_REPORT!N:N,A452))</f>
        <v/>
      </c>
      <c r="E452" t="str">
        <f t="shared" si="14"/>
        <v/>
      </c>
      <c r="F452" t="str">
        <f>IF(A452="","",_xludf.XLOOKUP(A452,MASTER_RAW_MATERIALS!B:B,MASTER_RAW_MATERIALS!E:E,0))</f>
        <v/>
      </c>
      <c r="G452" t="str">
        <f t="shared" si="15"/>
        <v/>
      </c>
    </row>
    <row r="453" spans="1:7" x14ac:dyDescent="0.2">
      <c r="A453" t="str">
        <f>IF(MASTER_RAW_MATERIALS!B453="","",MASTER_RAW_MATERIALS!B453)</f>
        <v/>
      </c>
      <c r="B453" t="str">
        <f>IF(A453="","",MASTER_RAW_MATERIALS!D453)</f>
        <v/>
      </c>
      <c r="C453" t="str">
        <f>IF(A453="","",SUMIFS(PURCHASES!E:E,PURCHASES!D:D,A453))</f>
        <v/>
      </c>
      <c r="D453" t="str">
        <f>IF(A453="","",SUMIFS(PRODUCTION_REPORT!E:E,PRODUCTION_REPORT!D:D,A453)+SUMIFS(PRODUCTION_REPORT!G:G,PRODUCTION_REPORT!F:F,A453)+SUMIFS(PRODUCTION_REPORT!I:I,PRODUCTION_REPORT!H:H,A453)+SUMIFS(PRODUCTION_REPORT!K:K,PRODUCTION_REPORT!J:J,A453)+SUMIFS(PRODUCTION_REPORT!M:M,PRODUCTION_REPORT!L:L,A453)+SUMIFS(PRODUCTION_REPORT!O:O,PRODUCTION_REPORT!N:N,A453))</f>
        <v/>
      </c>
      <c r="E453" t="str">
        <f t="shared" si="14"/>
        <v/>
      </c>
      <c r="F453" t="str">
        <f>IF(A453="","",_xludf.XLOOKUP(A453,MASTER_RAW_MATERIALS!B:B,MASTER_RAW_MATERIALS!E:E,0))</f>
        <v/>
      </c>
      <c r="G453" t="str">
        <f t="shared" si="15"/>
        <v/>
      </c>
    </row>
    <row r="454" spans="1:7" x14ac:dyDescent="0.2">
      <c r="A454" t="str">
        <f>IF(MASTER_RAW_MATERIALS!B454="","",MASTER_RAW_MATERIALS!B454)</f>
        <v/>
      </c>
      <c r="B454" t="str">
        <f>IF(A454="","",MASTER_RAW_MATERIALS!D454)</f>
        <v/>
      </c>
      <c r="C454" t="str">
        <f>IF(A454="","",SUMIFS(PURCHASES!E:E,PURCHASES!D:D,A454))</f>
        <v/>
      </c>
      <c r="D454" t="str">
        <f>IF(A454="","",SUMIFS(PRODUCTION_REPORT!E:E,PRODUCTION_REPORT!D:D,A454)+SUMIFS(PRODUCTION_REPORT!G:G,PRODUCTION_REPORT!F:F,A454)+SUMIFS(PRODUCTION_REPORT!I:I,PRODUCTION_REPORT!H:H,A454)+SUMIFS(PRODUCTION_REPORT!K:K,PRODUCTION_REPORT!J:J,A454)+SUMIFS(PRODUCTION_REPORT!M:M,PRODUCTION_REPORT!L:L,A454)+SUMIFS(PRODUCTION_REPORT!O:O,PRODUCTION_REPORT!N:N,A454))</f>
        <v/>
      </c>
      <c r="E454" t="str">
        <f t="shared" si="14"/>
        <v/>
      </c>
      <c r="F454" t="str">
        <f>IF(A454="","",_xludf.XLOOKUP(A454,MASTER_RAW_MATERIALS!B:B,MASTER_RAW_MATERIALS!E:E,0))</f>
        <v/>
      </c>
      <c r="G454" t="str">
        <f t="shared" si="15"/>
        <v/>
      </c>
    </row>
    <row r="455" spans="1:7" x14ac:dyDescent="0.2">
      <c r="A455" t="str">
        <f>IF(MASTER_RAW_MATERIALS!B455="","",MASTER_RAW_MATERIALS!B455)</f>
        <v/>
      </c>
      <c r="B455" t="str">
        <f>IF(A455="","",MASTER_RAW_MATERIALS!D455)</f>
        <v/>
      </c>
      <c r="C455" t="str">
        <f>IF(A455="","",SUMIFS(PURCHASES!E:E,PURCHASES!D:D,A455))</f>
        <v/>
      </c>
      <c r="D455" t="str">
        <f>IF(A455="","",SUMIFS(PRODUCTION_REPORT!E:E,PRODUCTION_REPORT!D:D,A455)+SUMIFS(PRODUCTION_REPORT!G:G,PRODUCTION_REPORT!F:F,A455)+SUMIFS(PRODUCTION_REPORT!I:I,PRODUCTION_REPORT!H:H,A455)+SUMIFS(PRODUCTION_REPORT!K:K,PRODUCTION_REPORT!J:J,A455)+SUMIFS(PRODUCTION_REPORT!M:M,PRODUCTION_REPORT!L:L,A455)+SUMIFS(PRODUCTION_REPORT!O:O,PRODUCTION_REPORT!N:N,A455))</f>
        <v/>
      </c>
      <c r="E455" t="str">
        <f t="shared" si="14"/>
        <v/>
      </c>
      <c r="F455" t="str">
        <f>IF(A455="","",_xludf.XLOOKUP(A455,MASTER_RAW_MATERIALS!B:B,MASTER_RAW_MATERIALS!E:E,0))</f>
        <v/>
      </c>
      <c r="G455" t="str">
        <f t="shared" si="15"/>
        <v/>
      </c>
    </row>
    <row r="456" spans="1:7" x14ac:dyDescent="0.2">
      <c r="A456" t="str">
        <f>IF(MASTER_RAW_MATERIALS!B456="","",MASTER_RAW_MATERIALS!B456)</f>
        <v/>
      </c>
      <c r="B456" t="str">
        <f>IF(A456="","",MASTER_RAW_MATERIALS!D456)</f>
        <v/>
      </c>
      <c r="C456" t="str">
        <f>IF(A456="","",SUMIFS(PURCHASES!E:E,PURCHASES!D:D,A456))</f>
        <v/>
      </c>
      <c r="D456" t="str">
        <f>IF(A456="","",SUMIFS(PRODUCTION_REPORT!E:E,PRODUCTION_REPORT!D:D,A456)+SUMIFS(PRODUCTION_REPORT!G:G,PRODUCTION_REPORT!F:F,A456)+SUMIFS(PRODUCTION_REPORT!I:I,PRODUCTION_REPORT!H:H,A456)+SUMIFS(PRODUCTION_REPORT!K:K,PRODUCTION_REPORT!J:J,A456)+SUMIFS(PRODUCTION_REPORT!M:M,PRODUCTION_REPORT!L:L,A456)+SUMIFS(PRODUCTION_REPORT!O:O,PRODUCTION_REPORT!N:N,A456))</f>
        <v/>
      </c>
      <c r="E456" t="str">
        <f t="shared" si="14"/>
        <v/>
      </c>
      <c r="F456" t="str">
        <f>IF(A456="","",_xludf.XLOOKUP(A456,MASTER_RAW_MATERIALS!B:B,MASTER_RAW_MATERIALS!E:E,0))</f>
        <v/>
      </c>
      <c r="G456" t="str">
        <f t="shared" si="15"/>
        <v/>
      </c>
    </row>
    <row r="457" spans="1:7" x14ac:dyDescent="0.2">
      <c r="A457" t="str">
        <f>IF(MASTER_RAW_MATERIALS!B457="","",MASTER_RAW_MATERIALS!B457)</f>
        <v/>
      </c>
      <c r="B457" t="str">
        <f>IF(A457="","",MASTER_RAW_MATERIALS!D457)</f>
        <v/>
      </c>
      <c r="C457" t="str">
        <f>IF(A457="","",SUMIFS(PURCHASES!E:E,PURCHASES!D:D,A457))</f>
        <v/>
      </c>
      <c r="D457" t="str">
        <f>IF(A457="","",SUMIFS(PRODUCTION_REPORT!E:E,PRODUCTION_REPORT!D:D,A457)+SUMIFS(PRODUCTION_REPORT!G:G,PRODUCTION_REPORT!F:F,A457)+SUMIFS(PRODUCTION_REPORT!I:I,PRODUCTION_REPORT!H:H,A457)+SUMIFS(PRODUCTION_REPORT!K:K,PRODUCTION_REPORT!J:J,A457)+SUMIFS(PRODUCTION_REPORT!M:M,PRODUCTION_REPORT!L:L,A457)+SUMIFS(PRODUCTION_REPORT!O:O,PRODUCTION_REPORT!N:N,A457))</f>
        <v/>
      </c>
      <c r="E457" t="str">
        <f t="shared" si="14"/>
        <v/>
      </c>
      <c r="F457" t="str">
        <f>IF(A457="","",_xludf.XLOOKUP(A457,MASTER_RAW_MATERIALS!B:B,MASTER_RAW_MATERIALS!E:E,0))</f>
        <v/>
      </c>
      <c r="G457" t="str">
        <f t="shared" si="15"/>
        <v/>
      </c>
    </row>
    <row r="458" spans="1:7" x14ac:dyDescent="0.2">
      <c r="A458" t="str">
        <f>IF(MASTER_RAW_MATERIALS!B458="","",MASTER_RAW_MATERIALS!B458)</f>
        <v/>
      </c>
      <c r="B458" t="str">
        <f>IF(A458="","",MASTER_RAW_MATERIALS!D458)</f>
        <v/>
      </c>
      <c r="C458" t="str">
        <f>IF(A458="","",SUMIFS(PURCHASES!E:E,PURCHASES!D:D,A458))</f>
        <v/>
      </c>
      <c r="D458" t="str">
        <f>IF(A458="","",SUMIFS(PRODUCTION_REPORT!E:E,PRODUCTION_REPORT!D:D,A458)+SUMIFS(PRODUCTION_REPORT!G:G,PRODUCTION_REPORT!F:F,A458)+SUMIFS(PRODUCTION_REPORT!I:I,PRODUCTION_REPORT!H:H,A458)+SUMIFS(PRODUCTION_REPORT!K:K,PRODUCTION_REPORT!J:J,A458)+SUMIFS(PRODUCTION_REPORT!M:M,PRODUCTION_REPORT!L:L,A458)+SUMIFS(PRODUCTION_REPORT!O:O,PRODUCTION_REPORT!N:N,A458))</f>
        <v/>
      </c>
      <c r="E458" t="str">
        <f t="shared" si="14"/>
        <v/>
      </c>
      <c r="F458" t="str">
        <f>IF(A458="","",_xludf.XLOOKUP(A458,MASTER_RAW_MATERIALS!B:B,MASTER_RAW_MATERIALS!E:E,0))</f>
        <v/>
      </c>
      <c r="G458" t="str">
        <f t="shared" si="15"/>
        <v/>
      </c>
    </row>
    <row r="459" spans="1:7" x14ac:dyDescent="0.2">
      <c r="A459" t="str">
        <f>IF(MASTER_RAW_MATERIALS!B459="","",MASTER_RAW_MATERIALS!B459)</f>
        <v/>
      </c>
      <c r="B459" t="str">
        <f>IF(A459="","",MASTER_RAW_MATERIALS!D459)</f>
        <v/>
      </c>
      <c r="C459" t="str">
        <f>IF(A459="","",SUMIFS(PURCHASES!E:E,PURCHASES!D:D,A459))</f>
        <v/>
      </c>
      <c r="D459" t="str">
        <f>IF(A459="","",SUMIFS(PRODUCTION_REPORT!E:E,PRODUCTION_REPORT!D:D,A459)+SUMIFS(PRODUCTION_REPORT!G:G,PRODUCTION_REPORT!F:F,A459)+SUMIFS(PRODUCTION_REPORT!I:I,PRODUCTION_REPORT!H:H,A459)+SUMIFS(PRODUCTION_REPORT!K:K,PRODUCTION_REPORT!J:J,A459)+SUMIFS(PRODUCTION_REPORT!M:M,PRODUCTION_REPORT!L:L,A459)+SUMIFS(PRODUCTION_REPORT!O:O,PRODUCTION_REPORT!N:N,A459))</f>
        <v/>
      </c>
      <c r="E459" t="str">
        <f t="shared" si="14"/>
        <v/>
      </c>
      <c r="F459" t="str">
        <f>IF(A459="","",_xludf.XLOOKUP(A459,MASTER_RAW_MATERIALS!B:B,MASTER_RAW_MATERIALS!E:E,0))</f>
        <v/>
      </c>
      <c r="G459" t="str">
        <f t="shared" si="15"/>
        <v/>
      </c>
    </row>
    <row r="460" spans="1:7" x14ac:dyDescent="0.2">
      <c r="A460" t="str">
        <f>IF(MASTER_RAW_MATERIALS!B460="","",MASTER_RAW_MATERIALS!B460)</f>
        <v/>
      </c>
      <c r="B460" t="str">
        <f>IF(A460="","",MASTER_RAW_MATERIALS!D460)</f>
        <v/>
      </c>
      <c r="C460" t="str">
        <f>IF(A460="","",SUMIFS(PURCHASES!E:E,PURCHASES!D:D,A460))</f>
        <v/>
      </c>
      <c r="D460" t="str">
        <f>IF(A460="","",SUMIFS(PRODUCTION_REPORT!E:E,PRODUCTION_REPORT!D:D,A460)+SUMIFS(PRODUCTION_REPORT!G:G,PRODUCTION_REPORT!F:F,A460)+SUMIFS(PRODUCTION_REPORT!I:I,PRODUCTION_REPORT!H:H,A460)+SUMIFS(PRODUCTION_REPORT!K:K,PRODUCTION_REPORT!J:J,A460)+SUMIFS(PRODUCTION_REPORT!M:M,PRODUCTION_REPORT!L:L,A460)+SUMIFS(PRODUCTION_REPORT!O:O,PRODUCTION_REPORT!N:N,A460))</f>
        <v/>
      </c>
      <c r="E460" t="str">
        <f t="shared" si="14"/>
        <v/>
      </c>
      <c r="F460" t="str">
        <f>IF(A460="","",_xludf.XLOOKUP(A460,MASTER_RAW_MATERIALS!B:B,MASTER_RAW_MATERIALS!E:E,0))</f>
        <v/>
      </c>
      <c r="G460" t="str">
        <f t="shared" si="15"/>
        <v/>
      </c>
    </row>
    <row r="461" spans="1:7" x14ac:dyDescent="0.2">
      <c r="A461" t="str">
        <f>IF(MASTER_RAW_MATERIALS!B461="","",MASTER_RAW_MATERIALS!B461)</f>
        <v/>
      </c>
      <c r="B461" t="str">
        <f>IF(A461="","",MASTER_RAW_MATERIALS!D461)</f>
        <v/>
      </c>
      <c r="C461" t="str">
        <f>IF(A461="","",SUMIFS(PURCHASES!E:E,PURCHASES!D:D,A461))</f>
        <v/>
      </c>
      <c r="D461" t="str">
        <f>IF(A461="","",SUMIFS(PRODUCTION_REPORT!E:E,PRODUCTION_REPORT!D:D,A461)+SUMIFS(PRODUCTION_REPORT!G:G,PRODUCTION_REPORT!F:F,A461)+SUMIFS(PRODUCTION_REPORT!I:I,PRODUCTION_REPORT!H:H,A461)+SUMIFS(PRODUCTION_REPORT!K:K,PRODUCTION_REPORT!J:J,A461)+SUMIFS(PRODUCTION_REPORT!M:M,PRODUCTION_REPORT!L:L,A461)+SUMIFS(PRODUCTION_REPORT!O:O,PRODUCTION_REPORT!N:N,A461))</f>
        <v/>
      </c>
      <c r="E461" t="str">
        <f t="shared" si="14"/>
        <v/>
      </c>
      <c r="F461" t="str">
        <f>IF(A461="","",_xludf.XLOOKUP(A461,MASTER_RAW_MATERIALS!B:B,MASTER_RAW_MATERIALS!E:E,0))</f>
        <v/>
      </c>
      <c r="G461" t="str">
        <f t="shared" si="15"/>
        <v/>
      </c>
    </row>
    <row r="462" spans="1:7" x14ac:dyDescent="0.2">
      <c r="A462" t="str">
        <f>IF(MASTER_RAW_MATERIALS!B462="","",MASTER_RAW_MATERIALS!B462)</f>
        <v/>
      </c>
      <c r="B462" t="str">
        <f>IF(A462="","",MASTER_RAW_MATERIALS!D462)</f>
        <v/>
      </c>
      <c r="C462" t="str">
        <f>IF(A462="","",SUMIFS(PURCHASES!E:E,PURCHASES!D:D,A462))</f>
        <v/>
      </c>
      <c r="D462" t="str">
        <f>IF(A462="","",SUMIFS(PRODUCTION_REPORT!E:E,PRODUCTION_REPORT!D:D,A462)+SUMIFS(PRODUCTION_REPORT!G:G,PRODUCTION_REPORT!F:F,A462)+SUMIFS(PRODUCTION_REPORT!I:I,PRODUCTION_REPORT!H:H,A462)+SUMIFS(PRODUCTION_REPORT!K:K,PRODUCTION_REPORT!J:J,A462)+SUMIFS(PRODUCTION_REPORT!M:M,PRODUCTION_REPORT!L:L,A462)+SUMIFS(PRODUCTION_REPORT!O:O,PRODUCTION_REPORT!N:N,A462))</f>
        <v/>
      </c>
      <c r="E462" t="str">
        <f t="shared" si="14"/>
        <v/>
      </c>
      <c r="F462" t="str">
        <f>IF(A462="","",_xludf.XLOOKUP(A462,MASTER_RAW_MATERIALS!B:B,MASTER_RAW_MATERIALS!E:E,0))</f>
        <v/>
      </c>
      <c r="G462" t="str">
        <f t="shared" si="15"/>
        <v/>
      </c>
    </row>
    <row r="463" spans="1:7" x14ac:dyDescent="0.2">
      <c r="A463" t="str">
        <f>IF(MASTER_RAW_MATERIALS!B463="","",MASTER_RAW_MATERIALS!B463)</f>
        <v/>
      </c>
      <c r="B463" t="str">
        <f>IF(A463="","",MASTER_RAW_MATERIALS!D463)</f>
        <v/>
      </c>
      <c r="C463" t="str">
        <f>IF(A463="","",SUMIFS(PURCHASES!E:E,PURCHASES!D:D,A463))</f>
        <v/>
      </c>
      <c r="D463" t="str">
        <f>IF(A463="","",SUMIFS(PRODUCTION_REPORT!E:E,PRODUCTION_REPORT!D:D,A463)+SUMIFS(PRODUCTION_REPORT!G:G,PRODUCTION_REPORT!F:F,A463)+SUMIFS(PRODUCTION_REPORT!I:I,PRODUCTION_REPORT!H:H,A463)+SUMIFS(PRODUCTION_REPORT!K:K,PRODUCTION_REPORT!J:J,A463)+SUMIFS(PRODUCTION_REPORT!M:M,PRODUCTION_REPORT!L:L,A463)+SUMIFS(PRODUCTION_REPORT!O:O,PRODUCTION_REPORT!N:N,A463))</f>
        <v/>
      </c>
      <c r="E463" t="str">
        <f t="shared" si="14"/>
        <v/>
      </c>
      <c r="F463" t="str">
        <f>IF(A463="","",_xludf.XLOOKUP(A463,MASTER_RAW_MATERIALS!B:B,MASTER_RAW_MATERIALS!E:E,0))</f>
        <v/>
      </c>
      <c r="G463" t="str">
        <f t="shared" si="15"/>
        <v/>
      </c>
    </row>
    <row r="464" spans="1:7" x14ac:dyDescent="0.2">
      <c r="A464" t="str">
        <f>IF(MASTER_RAW_MATERIALS!B464="","",MASTER_RAW_MATERIALS!B464)</f>
        <v/>
      </c>
      <c r="B464" t="str">
        <f>IF(A464="","",MASTER_RAW_MATERIALS!D464)</f>
        <v/>
      </c>
      <c r="C464" t="str">
        <f>IF(A464="","",SUMIFS(PURCHASES!E:E,PURCHASES!D:D,A464))</f>
        <v/>
      </c>
      <c r="D464" t="str">
        <f>IF(A464="","",SUMIFS(PRODUCTION_REPORT!E:E,PRODUCTION_REPORT!D:D,A464)+SUMIFS(PRODUCTION_REPORT!G:G,PRODUCTION_REPORT!F:F,A464)+SUMIFS(PRODUCTION_REPORT!I:I,PRODUCTION_REPORT!H:H,A464)+SUMIFS(PRODUCTION_REPORT!K:K,PRODUCTION_REPORT!J:J,A464)+SUMIFS(PRODUCTION_REPORT!M:M,PRODUCTION_REPORT!L:L,A464)+SUMIFS(PRODUCTION_REPORT!O:O,PRODUCTION_REPORT!N:N,A464))</f>
        <v/>
      </c>
      <c r="E464" t="str">
        <f t="shared" si="14"/>
        <v/>
      </c>
      <c r="F464" t="str">
        <f>IF(A464="","",_xludf.XLOOKUP(A464,MASTER_RAW_MATERIALS!B:B,MASTER_RAW_MATERIALS!E:E,0))</f>
        <v/>
      </c>
      <c r="G464" t="str">
        <f t="shared" si="15"/>
        <v/>
      </c>
    </row>
    <row r="465" spans="1:7" x14ac:dyDescent="0.2">
      <c r="A465" t="str">
        <f>IF(MASTER_RAW_MATERIALS!B465="","",MASTER_RAW_MATERIALS!B465)</f>
        <v/>
      </c>
      <c r="B465" t="str">
        <f>IF(A465="","",MASTER_RAW_MATERIALS!D465)</f>
        <v/>
      </c>
      <c r="C465" t="str">
        <f>IF(A465="","",SUMIFS(PURCHASES!E:E,PURCHASES!D:D,A465))</f>
        <v/>
      </c>
      <c r="D465" t="str">
        <f>IF(A465="","",SUMIFS(PRODUCTION_REPORT!E:E,PRODUCTION_REPORT!D:D,A465)+SUMIFS(PRODUCTION_REPORT!G:G,PRODUCTION_REPORT!F:F,A465)+SUMIFS(PRODUCTION_REPORT!I:I,PRODUCTION_REPORT!H:H,A465)+SUMIFS(PRODUCTION_REPORT!K:K,PRODUCTION_REPORT!J:J,A465)+SUMIFS(PRODUCTION_REPORT!M:M,PRODUCTION_REPORT!L:L,A465)+SUMIFS(PRODUCTION_REPORT!O:O,PRODUCTION_REPORT!N:N,A465))</f>
        <v/>
      </c>
      <c r="E465" t="str">
        <f t="shared" si="14"/>
        <v/>
      </c>
      <c r="F465" t="str">
        <f>IF(A465="","",_xludf.XLOOKUP(A465,MASTER_RAW_MATERIALS!B:B,MASTER_RAW_MATERIALS!E:E,0))</f>
        <v/>
      </c>
      <c r="G465" t="str">
        <f t="shared" si="15"/>
        <v/>
      </c>
    </row>
    <row r="466" spans="1:7" x14ac:dyDescent="0.2">
      <c r="A466" t="str">
        <f>IF(MASTER_RAW_MATERIALS!B466="","",MASTER_RAW_MATERIALS!B466)</f>
        <v/>
      </c>
      <c r="B466" t="str">
        <f>IF(A466="","",MASTER_RAW_MATERIALS!D466)</f>
        <v/>
      </c>
      <c r="C466" t="str">
        <f>IF(A466="","",SUMIFS(PURCHASES!E:E,PURCHASES!D:D,A466))</f>
        <v/>
      </c>
      <c r="D466" t="str">
        <f>IF(A466="","",SUMIFS(PRODUCTION_REPORT!E:E,PRODUCTION_REPORT!D:D,A466)+SUMIFS(PRODUCTION_REPORT!G:G,PRODUCTION_REPORT!F:F,A466)+SUMIFS(PRODUCTION_REPORT!I:I,PRODUCTION_REPORT!H:H,A466)+SUMIFS(PRODUCTION_REPORT!K:K,PRODUCTION_REPORT!J:J,A466)+SUMIFS(PRODUCTION_REPORT!M:M,PRODUCTION_REPORT!L:L,A466)+SUMIFS(PRODUCTION_REPORT!O:O,PRODUCTION_REPORT!N:N,A466))</f>
        <v/>
      </c>
      <c r="E466" t="str">
        <f t="shared" si="14"/>
        <v/>
      </c>
      <c r="F466" t="str">
        <f>IF(A466="","",_xludf.XLOOKUP(A466,MASTER_RAW_MATERIALS!B:B,MASTER_RAW_MATERIALS!E:E,0))</f>
        <v/>
      </c>
      <c r="G466" t="str">
        <f t="shared" si="15"/>
        <v/>
      </c>
    </row>
    <row r="467" spans="1:7" x14ac:dyDescent="0.2">
      <c r="A467" t="str">
        <f>IF(MASTER_RAW_MATERIALS!B467="","",MASTER_RAW_MATERIALS!B467)</f>
        <v/>
      </c>
      <c r="B467" t="str">
        <f>IF(A467="","",MASTER_RAW_MATERIALS!D467)</f>
        <v/>
      </c>
      <c r="C467" t="str">
        <f>IF(A467="","",SUMIFS(PURCHASES!E:E,PURCHASES!D:D,A467))</f>
        <v/>
      </c>
      <c r="D467" t="str">
        <f>IF(A467="","",SUMIFS(PRODUCTION_REPORT!E:E,PRODUCTION_REPORT!D:D,A467)+SUMIFS(PRODUCTION_REPORT!G:G,PRODUCTION_REPORT!F:F,A467)+SUMIFS(PRODUCTION_REPORT!I:I,PRODUCTION_REPORT!H:H,A467)+SUMIFS(PRODUCTION_REPORT!K:K,PRODUCTION_REPORT!J:J,A467)+SUMIFS(PRODUCTION_REPORT!M:M,PRODUCTION_REPORT!L:L,A467)+SUMIFS(PRODUCTION_REPORT!O:O,PRODUCTION_REPORT!N:N,A467))</f>
        <v/>
      </c>
      <c r="E467" t="str">
        <f t="shared" si="14"/>
        <v/>
      </c>
      <c r="F467" t="str">
        <f>IF(A467="","",_xludf.XLOOKUP(A467,MASTER_RAW_MATERIALS!B:B,MASTER_RAW_MATERIALS!E:E,0))</f>
        <v/>
      </c>
      <c r="G467" t="str">
        <f t="shared" si="15"/>
        <v/>
      </c>
    </row>
    <row r="468" spans="1:7" x14ac:dyDescent="0.2">
      <c r="A468" t="str">
        <f>IF(MASTER_RAW_MATERIALS!B468="","",MASTER_RAW_MATERIALS!B468)</f>
        <v/>
      </c>
      <c r="B468" t="str">
        <f>IF(A468="","",MASTER_RAW_MATERIALS!D468)</f>
        <v/>
      </c>
      <c r="C468" t="str">
        <f>IF(A468="","",SUMIFS(PURCHASES!E:E,PURCHASES!D:D,A468))</f>
        <v/>
      </c>
      <c r="D468" t="str">
        <f>IF(A468="","",SUMIFS(PRODUCTION_REPORT!E:E,PRODUCTION_REPORT!D:D,A468)+SUMIFS(PRODUCTION_REPORT!G:G,PRODUCTION_REPORT!F:F,A468)+SUMIFS(PRODUCTION_REPORT!I:I,PRODUCTION_REPORT!H:H,A468)+SUMIFS(PRODUCTION_REPORT!K:K,PRODUCTION_REPORT!J:J,A468)+SUMIFS(PRODUCTION_REPORT!M:M,PRODUCTION_REPORT!L:L,A468)+SUMIFS(PRODUCTION_REPORT!O:O,PRODUCTION_REPORT!N:N,A468))</f>
        <v/>
      </c>
      <c r="E468" t="str">
        <f t="shared" si="14"/>
        <v/>
      </c>
      <c r="F468" t="str">
        <f>IF(A468="","",_xludf.XLOOKUP(A468,MASTER_RAW_MATERIALS!B:B,MASTER_RAW_MATERIALS!E:E,0))</f>
        <v/>
      </c>
      <c r="G468" t="str">
        <f t="shared" si="15"/>
        <v/>
      </c>
    </row>
    <row r="469" spans="1:7" x14ac:dyDescent="0.2">
      <c r="A469" t="str">
        <f>IF(MASTER_RAW_MATERIALS!B469="","",MASTER_RAW_MATERIALS!B469)</f>
        <v/>
      </c>
      <c r="B469" t="str">
        <f>IF(A469="","",MASTER_RAW_MATERIALS!D469)</f>
        <v/>
      </c>
      <c r="C469" t="str">
        <f>IF(A469="","",SUMIFS(PURCHASES!E:E,PURCHASES!D:D,A469))</f>
        <v/>
      </c>
      <c r="D469" t="str">
        <f>IF(A469="","",SUMIFS(PRODUCTION_REPORT!E:E,PRODUCTION_REPORT!D:D,A469)+SUMIFS(PRODUCTION_REPORT!G:G,PRODUCTION_REPORT!F:F,A469)+SUMIFS(PRODUCTION_REPORT!I:I,PRODUCTION_REPORT!H:H,A469)+SUMIFS(PRODUCTION_REPORT!K:K,PRODUCTION_REPORT!J:J,A469)+SUMIFS(PRODUCTION_REPORT!M:M,PRODUCTION_REPORT!L:L,A469)+SUMIFS(PRODUCTION_REPORT!O:O,PRODUCTION_REPORT!N:N,A469))</f>
        <v/>
      </c>
      <c r="E469" t="str">
        <f t="shared" si="14"/>
        <v/>
      </c>
      <c r="F469" t="str">
        <f>IF(A469="","",_xludf.XLOOKUP(A469,MASTER_RAW_MATERIALS!B:B,MASTER_RAW_MATERIALS!E:E,0))</f>
        <v/>
      </c>
      <c r="G469" t="str">
        <f t="shared" si="15"/>
        <v/>
      </c>
    </row>
    <row r="470" spans="1:7" x14ac:dyDescent="0.2">
      <c r="A470" t="str">
        <f>IF(MASTER_RAW_MATERIALS!B470="","",MASTER_RAW_MATERIALS!B470)</f>
        <v/>
      </c>
      <c r="B470" t="str">
        <f>IF(A470="","",MASTER_RAW_MATERIALS!D470)</f>
        <v/>
      </c>
      <c r="C470" t="str">
        <f>IF(A470="","",SUMIFS(PURCHASES!E:E,PURCHASES!D:D,A470))</f>
        <v/>
      </c>
      <c r="D470" t="str">
        <f>IF(A470="","",SUMIFS(PRODUCTION_REPORT!E:E,PRODUCTION_REPORT!D:D,A470)+SUMIFS(PRODUCTION_REPORT!G:G,PRODUCTION_REPORT!F:F,A470)+SUMIFS(PRODUCTION_REPORT!I:I,PRODUCTION_REPORT!H:H,A470)+SUMIFS(PRODUCTION_REPORT!K:K,PRODUCTION_REPORT!J:J,A470)+SUMIFS(PRODUCTION_REPORT!M:M,PRODUCTION_REPORT!L:L,A470)+SUMIFS(PRODUCTION_REPORT!O:O,PRODUCTION_REPORT!N:N,A470))</f>
        <v/>
      </c>
      <c r="E470" t="str">
        <f t="shared" si="14"/>
        <v/>
      </c>
      <c r="F470" t="str">
        <f>IF(A470="","",_xludf.XLOOKUP(A470,MASTER_RAW_MATERIALS!B:B,MASTER_RAW_MATERIALS!E:E,0))</f>
        <v/>
      </c>
      <c r="G470" t="str">
        <f t="shared" si="15"/>
        <v/>
      </c>
    </row>
    <row r="471" spans="1:7" x14ac:dyDescent="0.2">
      <c r="A471" t="str">
        <f>IF(MASTER_RAW_MATERIALS!B471="","",MASTER_RAW_MATERIALS!B471)</f>
        <v/>
      </c>
      <c r="B471" t="str">
        <f>IF(A471="","",MASTER_RAW_MATERIALS!D471)</f>
        <v/>
      </c>
      <c r="C471" t="str">
        <f>IF(A471="","",SUMIFS(PURCHASES!E:E,PURCHASES!D:D,A471))</f>
        <v/>
      </c>
      <c r="D471" t="str">
        <f>IF(A471="","",SUMIFS(PRODUCTION_REPORT!E:E,PRODUCTION_REPORT!D:D,A471)+SUMIFS(PRODUCTION_REPORT!G:G,PRODUCTION_REPORT!F:F,A471)+SUMIFS(PRODUCTION_REPORT!I:I,PRODUCTION_REPORT!H:H,A471)+SUMIFS(PRODUCTION_REPORT!K:K,PRODUCTION_REPORT!J:J,A471)+SUMIFS(PRODUCTION_REPORT!M:M,PRODUCTION_REPORT!L:L,A471)+SUMIFS(PRODUCTION_REPORT!O:O,PRODUCTION_REPORT!N:N,A471))</f>
        <v/>
      </c>
      <c r="E471" t="str">
        <f t="shared" si="14"/>
        <v/>
      </c>
      <c r="F471" t="str">
        <f>IF(A471="","",_xludf.XLOOKUP(A471,MASTER_RAW_MATERIALS!B:B,MASTER_RAW_MATERIALS!E:E,0))</f>
        <v/>
      </c>
      <c r="G471" t="str">
        <f t="shared" si="15"/>
        <v/>
      </c>
    </row>
    <row r="472" spans="1:7" x14ac:dyDescent="0.2">
      <c r="A472" t="str">
        <f>IF(MASTER_RAW_MATERIALS!B472="","",MASTER_RAW_MATERIALS!B472)</f>
        <v/>
      </c>
      <c r="B472" t="str">
        <f>IF(A472="","",MASTER_RAW_MATERIALS!D472)</f>
        <v/>
      </c>
      <c r="C472" t="str">
        <f>IF(A472="","",SUMIFS(PURCHASES!E:E,PURCHASES!D:D,A472))</f>
        <v/>
      </c>
      <c r="D472" t="str">
        <f>IF(A472="","",SUMIFS(PRODUCTION_REPORT!E:E,PRODUCTION_REPORT!D:D,A472)+SUMIFS(PRODUCTION_REPORT!G:G,PRODUCTION_REPORT!F:F,A472)+SUMIFS(PRODUCTION_REPORT!I:I,PRODUCTION_REPORT!H:H,A472)+SUMIFS(PRODUCTION_REPORT!K:K,PRODUCTION_REPORT!J:J,A472)+SUMIFS(PRODUCTION_REPORT!M:M,PRODUCTION_REPORT!L:L,A472)+SUMIFS(PRODUCTION_REPORT!O:O,PRODUCTION_REPORT!N:N,A472))</f>
        <v/>
      </c>
      <c r="E472" t="str">
        <f t="shared" si="14"/>
        <v/>
      </c>
      <c r="F472" t="str">
        <f>IF(A472="","",_xludf.XLOOKUP(A472,MASTER_RAW_MATERIALS!B:B,MASTER_RAW_MATERIALS!E:E,0))</f>
        <v/>
      </c>
      <c r="G472" t="str">
        <f t="shared" si="15"/>
        <v/>
      </c>
    </row>
    <row r="473" spans="1:7" x14ac:dyDescent="0.2">
      <c r="A473" t="str">
        <f>IF(MASTER_RAW_MATERIALS!B473="","",MASTER_RAW_MATERIALS!B473)</f>
        <v/>
      </c>
      <c r="B473" t="str">
        <f>IF(A473="","",MASTER_RAW_MATERIALS!D473)</f>
        <v/>
      </c>
      <c r="C473" t="str">
        <f>IF(A473="","",SUMIFS(PURCHASES!E:E,PURCHASES!D:D,A473))</f>
        <v/>
      </c>
      <c r="D473" t="str">
        <f>IF(A473="","",SUMIFS(PRODUCTION_REPORT!E:E,PRODUCTION_REPORT!D:D,A473)+SUMIFS(PRODUCTION_REPORT!G:G,PRODUCTION_REPORT!F:F,A473)+SUMIFS(PRODUCTION_REPORT!I:I,PRODUCTION_REPORT!H:H,A473)+SUMIFS(PRODUCTION_REPORT!K:K,PRODUCTION_REPORT!J:J,A473)+SUMIFS(PRODUCTION_REPORT!M:M,PRODUCTION_REPORT!L:L,A473)+SUMIFS(PRODUCTION_REPORT!O:O,PRODUCTION_REPORT!N:N,A473))</f>
        <v/>
      </c>
      <c r="E473" t="str">
        <f t="shared" si="14"/>
        <v/>
      </c>
      <c r="F473" t="str">
        <f>IF(A473="","",_xludf.XLOOKUP(A473,MASTER_RAW_MATERIALS!B:B,MASTER_RAW_MATERIALS!E:E,0))</f>
        <v/>
      </c>
      <c r="G473" t="str">
        <f t="shared" si="15"/>
        <v/>
      </c>
    </row>
    <row r="474" spans="1:7" x14ac:dyDescent="0.2">
      <c r="A474" t="str">
        <f>IF(MASTER_RAW_MATERIALS!B474="","",MASTER_RAW_MATERIALS!B474)</f>
        <v/>
      </c>
      <c r="B474" t="str">
        <f>IF(A474="","",MASTER_RAW_MATERIALS!D474)</f>
        <v/>
      </c>
      <c r="C474" t="str">
        <f>IF(A474="","",SUMIFS(PURCHASES!E:E,PURCHASES!D:D,A474))</f>
        <v/>
      </c>
      <c r="D474" t="str">
        <f>IF(A474="","",SUMIFS(PRODUCTION_REPORT!E:E,PRODUCTION_REPORT!D:D,A474)+SUMIFS(PRODUCTION_REPORT!G:G,PRODUCTION_REPORT!F:F,A474)+SUMIFS(PRODUCTION_REPORT!I:I,PRODUCTION_REPORT!H:H,A474)+SUMIFS(PRODUCTION_REPORT!K:K,PRODUCTION_REPORT!J:J,A474)+SUMIFS(PRODUCTION_REPORT!M:M,PRODUCTION_REPORT!L:L,A474)+SUMIFS(PRODUCTION_REPORT!O:O,PRODUCTION_REPORT!N:N,A474))</f>
        <v/>
      </c>
      <c r="E474" t="str">
        <f t="shared" si="14"/>
        <v/>
      </c>
      <c r="F474" t="str">
        <f>IF(A474="","",_xludf.XLOOKUP(A474,MASTER_RAW_MATERIALS!B:B,MASTER_RAW_MATERIALS!E:E,0))</f>
        <v/>
      </c>
      <c r="G474" t="str">
        <f t="shared" si="15"/>
        <v/>
      </c>
    </row>
    <row r="475" spans="1:7" x14ac:dyDescent="0.2">
      <c r="A475" t="str">
        <f>IF(MASTER_RAW_MATERIALS!B475="","",MASTER_RAW_MATERIALS!B475)</f>
        <v/>
      </c>
      <c r="B475" t="str">
        <f>IF(A475="","",MASTER_RAW_MATERIALS!D475)</f>
        <v/>
      </c>
      <c r="C475" t="str">
        <f>IF(A475="","",SUMIFS(PURCHASES!E:E,PURCHASES!D:D,A475))</f>
        <v/>
      </c>
      <c r="D475" t="str">
        <f>IF(A475="","",SUMIFS(PRODUCTION_REPORT!E:E,PRODUCTION_REPORT!D:D,A475)+SUMIFS(PRODUCTION_REPORT!G:G,PRODUCTION_REPORT!F:F,A475)+SUMIFS(PRODUCTION_REPORT!I:I,PRODUCTION_REPORT!H:H,A475)+SUMIFS(PRODUCTION_REPORT!K:K,PRODUCTION_REPORT!J:J,A475)+SUMIFS(PRODUCTION_REPORT!M:M,PRODUCTION_REPORT!L:L,A475)+SUMIFS(PRODUCTION_REPORT!O:O,PRODUCTION_REPORT!N:N,A475))</f>
        <v/>
      </c>
      <c r="E475" t="str">
        <f t="shared" si="14"/>
        <v/>
      </c>
      <c r="F475" t="str">
        <f>IF(A475="","",_xludf.XLOOKUP(A475,MASTER_RAW_MATERIALS!B:B,MASTER_RAW_MATERIALS!E:E,0))</f>
        <v/>
      </c>
      <c r="G475" t="str">
        <f t="shared" si="15"/>
        <v/>
      </c>
    </row>
    <row r="476" spans="1:7" x14ac:dyDescent="0.2">
      <c r="A476" t="str">
        <f>IF(MASTER_RAW_MATERIALS!B476="","",MASTER_RAW_MATERIALS!B476)</f>
        <v/>
      </c>
      <c r="B476" t="str">
        <f>IF(A476="","",MASTER_RAW_MATERIALS!D476)</f>
        <v/>
      </c>
      <c r="C476" t="str">
        <f>IF(A476="","",SUMIFS(PURCHASES!E:E,PURCHASES!D:D,A476))</f>
        <v/>
      </c>
      <c r="D476" t="str">
        <f>IF(A476="","",SUMIFS(PRODUCTION_REPORT!E:E,PRODUCTION_REPORT!D:D,A476)+SUMIFS(PRODUCTION_REPORT!G:G,PRODUCTION_REPORT!F:F,A476)+SUMIFS(PRODUCTION_REPORT!I:I,PRODUCTION_REPORT!H:H,A476)+SUMIFS(PRODUCTION_REPORT!K:K,PRODUCTION_REPORT!J:J,A476)+SUMIFS(PRODUCTION_REPORT!M:M,PRODUCTION_REPORT!L:L,A476)+SUMIFS(PRODUCTION_REPORT!O:O,PRODUCTION_REPORT!N:N,A476))</f>
        <v/>
      </c>
      <c r="E476" t="str">
        <f t="shared" si="14"/>
        <v/>
      </c>
      <c r="F476" t="str">
        <f>IF(A476="","",_xludf.XLOOKUP(A476,MASTER_RAW_MATERIALS!B:B,MASTER_RAW_MATERIALS!E:E,0))</f>
        <v/>
      </c>
      <c r="G476" t="str">
        <f t="shared" si="15"/>
        <v/>
      </c>
    </row>
    <row r="477" spans="1:7" x14ac:dyDescent="0.2">
      <c r="A477" t="str">
        <f>IF(MASTER_RAW_MATERIALS!B477="","",MASTER_RAW_MATERIALS!B477)</f>
        <v/>
      </c>
      <c r="B477" t="str">
        <f>IF(A477="","",MASTER_RAW_MATERIALS!D477)</f>
        <v/>
      </c>
      <c r="C477" t="str">
        <f>IF(A477="","",SUMIFS(PURCHASES!E:E,PURCHASES!D:D,A477))</f>
        <v/>
      </c>
      <c r="D477" t="str">
        <f>IF(A477="","",SUMIFS(PRODUCTION_REPORT!E:E,PRODUCTION_REPORT!D:D,A477)+SUMIFS(PRODUCTION_REPORT!G:G,PRODUCTION_REPORT!F:F,A477)+SUMIFS(PRODUCTION_REPORT!I:I,PRODUCTION_REPORT!H:H,A477)+SUMIFS(PRODUCTION_REPORT!K:K,PRODUCTION_REPORT!J:J,A477)+SUMIFS(PRODUCTION_REPORT!M:M,PRODUCTION_REPORT!L:L,A477)+SUMIFS(PRODUCTION_REPORT!O:O,PRODUCTION_REPORT!N:N,A477))</f>
        <v/>
      </c>
      <c r="E477" t="str">
        <f t="shared" si="14"/>
        <v/>
      </c>
      <c r="F477" t="str">
        <f>IF(A477="","",_xludf.XLOOKUP(A477,MASTER_RAW_MATERIALS!B:B,MASTER_RAW_MATERIALS!E:E,0))</f>
        <v/>
      </c>
      <c r="G477" t="str">
        <f t="shared" si="15"/>
        <v/>
      </c>
    </row>
    <row r="478" spans="1:7" x14ac:dyDescent="0.2">
      <c r="A478" t="str">
        <f>IF(MASTER_RAW_MATERIALS!B478="","",MASTER_RAW_MATERIALS!B478)</f>
        <v/>
      </c>
      <c r="B478" t="str">
        <f>IF(A478="","",MASTER_RAW_MATERIALS!D478)</f>
        <v/>
      </c>
      <c r="C478" t="str">
        <f>IF(A478="","",SUMIFS(PURCHASES!E:E,PURCHASES!D:D,A478))</f>
        <v/>
      </c>
      <c r="D478" t="str">
        <f>IF(A478="","",SUMIFS(PRODUCTION_REPORT!E:E,PRODUCTION_REPORT!D:D,A478)+SUMIFS(PRODUCTION_REPORT!G:G,PRODUCTION_REPORT!F:F,A478)+SUMIFS(PRODUCTION_REPORT!I:I,PRODUCTION_REPORT!H:H,A478)+SUMIFS(PRODUCTION_REPORT!K:K,PRODUCTION_REPORT!J:J,A478)+SUMIFS(PRODUCTION_REPORT!M:M,PRODUCTION_REPORT!L:L,A478)+SUMIFS(PRODUCTION_REPORT!O:O,PRODUCTION_REPORT!N:N,A478))</f>
        <v/>
      </c>
      <c r="E478" t="str">
        <f t="shared" si="14"/>
        <v/>
      </c>
      <c r="F478" t="str">
        <f>IF(A478="","",_xludf.XLOOKUP(A478,MASTER_RAW_MATERIALS!B:B,MASTER_RAW_MATERIALS!E:E,0))</f>
        <v/>
      </c>
      <c r="G478" t="str">
        <f t="shared" si="15"/>
        <v/>
      </c>
    </row>
    <row r="479" spans="1:7" x14ac:dyDescent="0.2">
      <c r="A479" t="str">
        <f>IF(MASTER_RAW_MATERIALS!B479="","",MASTER_RAW_MATERIALS!B479)</f>
        <v/>
      </c>
      <c r="B479" t="str">
        <f>IF(A479="","",MASTER_RAW_MATERIALS!D479)</f>
        <v/>
      </c>
      <c r="C479" t="str">
        <f>IF(A479="","",SUMIFS(PURCHASES!E:E,PURCHASES!D:D,A479))</f>
        <v/>
      </c>
      <c r="D479" t="str">
        <f>IF(A479="","",SUMIFS(PRODUCTION_REPORT!E:E,PRODUCTION_REPORT!D:D,A479)+SUMIFS(PRODUCTION_REPORT!G:G,PRODUCTION_REPORT!F:F,A479)+SUMIFS(PRODUCTION_REPORT!I:I,PRODUCTION_REPORT!H:H,A479)+SUMIFS(PRODUCTION_REPORT!K:K,PRODUCTION_REPORT!J:J,A479)+SUMIFS(PRODUCTION_REPORT!M:M,PRODUCTION_REPORT!L:L,A479)+SUMIFS(PRODUCTION_REPORT!O:O,PRODUCTION_REPORT!N:N,A479))</f>
        <v/>
      </c>
      <c r="E479" t="str">
        <f t="shared" si="14"/>
        <v/>
      </c>
      <c r="F479" t="str">
        <f>IF(A479="","",_xludf.XLOOKUP(A479,MASTER_RAW_MATERIALS!B:B,MASTER_RAW_MATERIALS!E:E,0))</f>
        <v/>
      </c>
      <c r="G479" t="str">
        <f t="shared" si="15"/>
        <v/>
      </c>
    </row>
    <row r="480" spans="1:7" x14ac:dyDescent="0.2">
      <c r="A480" t="str">
        <f>IF(MASTER_RAW_MATERIALS!B480="","",MASTER_RAW_MATERIALS!B480)</f>
        <v/>
      </c>
      <c r="B480" t="str">
        <f>IF(A480="","",MASTER_RAW_MATERIALS!D480)</f>
        <v/>
      </c>
      <c r="C480" t="str">
        <f>IF(A480="","",SUMIFS(PURCHASES!E:E,PURCHASES!D:D,A480))</f>
        <v/>
      </c>
      <c r="D480" t="str">
        <f>IF(A480="","",SUMIFS(PRODUCTION_REPORT!E:E,PRODUCTION_REPORT!D:D,A480)+SUMIFS(PRODUCTION_REPORT!G:G,PRODUCTION_REPORT!F:F,A480)+SUMIFS(PRODUCTION_REPORT!I:I,PRODUCTION_REPORT!H:H,A480)+SUMIFS(PRODUCTION_REPORT!K:K,PRODUCTION_REPORT!J:J,A480)+SUMIFS(PRODUCTION_REPORT!M:M,PRODUCTION_REPORT!L:L,A480)+SUMIFS(PRODUCTION_REPORT!O:O,PRODUCTION_REPORT!N:N,A480))</f>
        <v/>
      </c>
      <c r="E480" t="str">
        <f t="shared" si="14"/>
        <v/>
      </c>
      <c r="F480" t="str">
        <f>IF(A480="","",_xludf.XLOOKUP(A480,MASTER_RAW_MATERIALS!B:B,MASTER_RAW_MATERIALS!E:E,0))</f>
        <v/>
      </c>
      <c r="G480" t="str">
        <f t="shared" si="15"/>
        <v/>
      </c>
    </row>
    <row r="481" spans="1:7" x14ac:dyDescent="0.2">
      <c r="A481" t="str">
        <f>IF(MASTER_RAW_MATERIALS!B481="","",MASTER_RAW_MATERIALS!B481)</f>
        <v/>
      </c>
      <c r="B481" t="str">
        <f>IF(A481="","",MASTER_RAW_MATERIALS!D481)</f>
        <v/>
      </c>
      <c r="C481" t="str">
        <f>IF(A481="","",SUMIFS(PURCHASES!E:E,PURCHASES!D:D,A481))</f>
        <v/>
      </c>
      <c r="D481" t="str">
        <f>IF(A481="","",SUMIFS(PRODUCTION_REPORT!E:E,PRODUCTION_REPORT!D:D,A481)+SUMIFS(PRODUCTION_REPORT!G:G,PRODUCTION_REPORT!F:F,A481)+SUMIFS(PRODUCTION_REPORT!I:I,PRODUCTION_REPORT!H:H,A481)+SUMIFS(PRODUCTION_REPORT!K:K,PRODUCTION_REPORT!J:J,A481)+SUMIFS(PRODUCTION_REPORT!M:M,PRODUCTION_REPORT!L:L,A481)+SUMIFS(PRODUCTION_REPORT!O:O,PRODUCTION_REPORT!N:N,A481))</f>
        <v/>
      </c>
      <c r="E481" t="str">
        <f t="shared" si="14"/>
        <v/>
      </c>
      <c r="F481" t="str">
        <f>IF(A481="","",_xludf.XLOOKUP(A481,MASTER_RAW_MATERIALS!B:B,MASTER_RAW_MATERIALS!E:E,0))</f>
        <v/>
      </c>
      <c r="G481" t="str">
        <f t="shared" si="15"/>
        <v/>
      </c>
    </row>
    <row r="482" spans="1:7" x14ac:dyDescent="0.2">
      <c r="A482" t="str">
        <f>IF(MASTER_RAW_MATERIALS!B482="","",MASTER_RAW_MATERIALS!B482)</f>
        <v/>
      </c>
      <c r="B482" t="str">
        <f>IF(A482="","",MASTER_RAW_MATERIALS!D482)</f>
        <v/>
      </c>
      <c r="C482" t="str">
        <f>IF(A482="","",SUMIFS(PURCHASES!E:E,PURCHASES!D:D,A482))</f>
        <v/>
      </c>
      <c r="D482" t="str">
        <f>IF(A482="","",SUMIFS(PRODUCTION_REPORT!E:E,PRODUCTION_REPORT!D:D,A482)+SUMIFS(PRODUCTION_REPORT!G:G,PRODUCTION_REPORT!F:F,A482)+SUMIFS(PRODUCTION_REPORT!I:I,PRODUCTION_REPORT!H:H,A482)+SUMIFS(PRODUCTION_REPORT!K:K,PRODUCTION_REPORT!J:J,A482)+SUMIFS(PRODUCTION_REPORT!M:M,PRODUCTION_REPORT!L:L,A482)+SUMIFS(PRODUCTION_REPORT!O:O,PRODUCTION_REPORT!N:N,A482))</f>
        <v/>
      </c>
      <c r="E482" t="str">
        <f t="shared" si="14"/>
        <v/>
      </c>
      <c r="F482" t="str">
        <f>IF(A482="","",_xludf.XLOOKUP(A482,MASTER_RAW_MATERIALS!B:B,MASTER_RAW_MATERIALS!E:E,0))</f>
        <v/>
      </c>
      <c r="G482" t="str">
        <f t="shared" si="15"/>
        <v/>
      </c>
    </row>
    <row r="483" spans="1:7" x14ac:dyDescent="0.2">
      <c r="A483" t="str">
        <f>IF(MASTER_RAW_MATERIALS!B483="","",MASTER_RAW_MATERIALS!B483)</f>
        <v/>
      </c>
      <c r="B483" t="str">
        <f>IF(A483="","",MASTER_RAW_MATERIALS!D483)</f>
        <v/>
      </c>
      <c r="C483" t="str">
        <f>IF(A483="","",SUMIFS(PURCHASES!E:E,PURCHASES!D:D,A483))</f>
        <v/>
      </c>
      <c r="D483" t="str">
        <f>IF(A483="","",SUMIFS(PRODUCTION_REPORT!E:E,PRODUCTION_REPORT!D:D,A483)+SUMIFS(PRODUCTION_REPORT!G:G,PRODUCTION_REPORT!F:F,A483)+SUMIFS(PRODUCTION_REPORT!I:I,PRODUCTION_REPORT!H:H,A483)+SUMIFS(PRODUCTION_REPORT!K:K,PRODUCTION_REPORT!J:J,A483)+SUMIFS(PRODUCTION_REPORT!M:M,PRODUCTION_REPORT!L:L,A483)+SUMIFS(PRODUCTION_REPORT!O:O,PRODUCTION_REPORT!N:N,A483))</f>
        <v/>
      </c>
      <c r="E483" t="str">
        <f t="shared" si="14"/>
        <v/>
      </c>
      <c r="F483" t="str">
        <f>IF(A483="","",_xludf.XLOOKUP(A483,MASTER_RAW_MATERIALS!B:B,MASTER_RAW_MATERIALS!E:E,0))</f>
        <v/>
      </c>
      <c r="G483" t="str">
        <f t="shared" si="15"/>
        <v/>
      </c>
    </row>
    <row r="484" spans="1:7" x14ac:dyDescent="0.2">
      <c r="A484" t="str">
        <f>IF(MASTER_RAW_MATERIALS!B484="","",MASTER_RAW_MATERIALS!B484)</f>
        <v/>
      </c>
      <c r="B484" t="str">
        <f>IF(A484="","",MASTER_RAW_MATERIALS!D484)</f>
        <v/>
      </c>
      <c r="C484" t="str">
        <f>IF(A484="","",SUMIFS(PURCHASES!E:E,PURCHASES!D:D,A484))</f>
        <v/>
      </c>
      <c r="D484" t="str">
        <f>IF(A484="","",SUMIFS(PRODUCTION_REPORT!E:E,PRODUCTION_REPORT!D:D,A484)+SUMIFS(PRODUCTION_REPORT!G:G,PRODUCTION_REPORT!F:F,A484)+SUMIFS(PRODUCTION_REPORT!I:I,PRODUCTION_REPORT!H:H,A484)+SUMIFS(PRODUCTION_REPORT!K:K,PRODUCTION_REPORT!J:J,A484)+SUMIFS(PRODUCTION_REPORT!M:M,PRODUCTION_REPORT!L:L,A484)+SUMIFS(PRODUCTION_REPORT!O:O,PRODUCTION_REPORT!N:N,A484))</f>
        <v/>
      </c>
      <c r="E484" t="str">
        <f t="shared" si="14"/>
        <v/>
      </c>
      <c r="F484" t="str">
        <f>IF(A484="","",_xludf.XLOOKUP(A484,MASTER_RAW_MATERIALS!B:B,MASTER_RAW_MATERIALS!E:E,0))</f>
        <v/>
      </c>
      <c r="G484" t="str">
        <f t="shared" si="15"/>
        <v/>
      </c>
    </row>
    <row r="485" spans="1:7" x14ac:dyDescent="0.2">
      <c r="A485" t="str">
        <f>IF(MASTER_RAW_MATERIALS!B485="","",MASTER_RAW_MATERIALS!B485)</f>
        <v/>
      </c>
      <c r="B485" t="str">
        <f>IF(A485="","",MASTER_RAW_MATERIALS!D485)</f>
        <v/>
      </c>
      <c r="C485" t="str">
        <f>IF(A485="","",SUMIFS(PURCHASES!E:E,PURCHASES!D:D,A485))</f>
        <v/>
      </c>
      <c r="D485" t="str">
        <f>IF(A485="","",SUMIFS(PRODUCTION_REPORT!E:E,PRODUCTION_REPORT!D:D,A485)+SUMIFS(PRODUCTION_REPORT!G:G,PRODUCTION_REPORT!F:F,A485)+SUMIFS(PRODUCTION_REPORT!I:I,PRODUCTION_REPORT!H:H,A485)+SUMIFS(PRODUCTION_REPORT!K:K,PRODUCTION_REPORT!J:J,A485)+SUMIFS(PRODUCTION_REPORT!M:M,PRODUCTION_REPORT!L:L,A485)+SUMIFS(PRODUCTION_REPORT!O:O,PRODUCTION_REPORT!N:N,A485))</f>
        <v/>
      </c>
      <c r="E485" t="str">
        <f t="shared" si="14"/>
        <v/>
      </c>
      <c r="F485" t="str">
        <f>IF(A485="","",_xludf.XLOOKUP(A485,MASTER_RAW_MATERIALS!B:B,MASTER_RAW_MATERIALS!E:E,0))</f>
        <v/>
      </c>
      <c r="G485" t="str">
        <f t="shared" si="15"/>
        <v/>
      </c>
    </row>
    <row r="486" spans="1:7" x14ac:dyDescent="0.2">
      <c r="A486" t="str">
        <f>IF(MASTER_RAW_MATERIALS!B486="","",MASTER_RAW_MATERIALS!B486)</f>
        <v/>
      </c>
      <c r="B486" t="str">
        <f>IF(A486="","",MASTER_RAW_MATERIALS!D486)</f>
        <v/>
      </c>
      <c r="C486" t="str">
        <f>IF(A486="","",SUMIFS(PURCHASES!E:E,PURCHASES!D:D,A486))</f>
        <v/>
      </c>
      <c r="D486" t="str">
        <f>IF(A486="","",SUMIFS(PRODUCTION_REPORT!E:E,PRODUCTION_REPORT!D:D,A486)+SUMIFS(PRODUCTION_REPORT!G:G,PRODUCTION_REPORT!F:F,A486)+SUMIFS(PRODUCTION_REPORT!I:I,PRODUCTION_REPORT!H:H,A486)+SUMIFS(PRODUCTION_REPORT!K:K,PRODUCTION_REPORT!J:J,A486)+SUMIFS(PRODUCTION_REPORT!M:M,PRODUCTION_REPORT!L:L,A486)+SUMIFS(PRODUCTION_REPORT!O:O,PRODUCTION_REPORT!N:N,A486))</f>
        <v/>
      </c>
      <c r="E486" t="str">
        <f t="shared" si="14"/>
        <v/>
      </c>
      <c r="F486" t="str">
        <f>IF(A486="","",_xludf.XLOOKUP(A486,MASTER_RAW_MATERIALS!B:B,MASTER_RAW_MATERIALS!E:E,0))</f>
        <v/>
      </c>
      <c r="G486" t="str">
        <f t="shared" si="15"/>
        <v/>
      </c>
    </row>
    <row r="487" spans="1:7" x14ac:dyDescent="0.2">
      <c r="A487" t="str">
        <f>IF(MASTER_RAW_MATERIALS!B487="","",MASTER_RAW_MATERIALS!B487)</f>
        <v/>
      </c>
      <c r="B487" t="str">
        <f>IF(A487="","",MASTER_RAW_MATERIALS!D487)</f>
        <v/>
      </c>
      <c r="C487" t="str">
        <f>IF(A487="","",SUMIFS(PURCHASES!E:E,PURCHASES!D:D,A487))</f>
        <v/>
      </c>
      <c r="D487" t="str">
        <f>IF(A487="","",SUMIFS(PRODUCTION_REPORT!E:E,PRODUCTION_REPORT!D:D,A487)+SUMIFS(PRODUCTION_REPORT!G:G,PRODUCTION_REPORT!F:F,A487)+SUMIFS(PRODUCTION_REPORT!I:I,PRODUCTION_REPORT!H:H,A487)+SUMIFS(PRODUCTION_REPORT!K:K,PRODUCTION_REPORT!J:J,A487)+SUMIFS(PRODUCTION_REPORT!M:M,PRODUCTION_REPORT!L:L,A487)+SUMIFS(PRODUCTION_REPORT!O:O,PRODUCTION_REPORT!N:N,A487))</f>
        <v/>
      </c>
      <c r="E487" t="str">
        <f t="shared" si="14"/>
        <v/>
      </c>
      <c r="F487" t="str">
        <f>IF(A487="","",_xludf.XLOOKUP(A487,MASTER_RAW_MATERIALS!B:B,MASTER_RAW_MATERIALS!E:E,0))</f>
        <v/>
      </c>
      <c r="G487" t="str">
        <f t="shared" si="15"/>
        <v/>
      </c>
    </row>
    <row r="488" spans="1:7" x14ac:dyDescent="0.2">
      <c r="A488" t="str">
        <f>IF(MASTER_RAW_MATERIALS!B488="","",MASTER_RAW_MATERIALS!B488)</f>
        <v/>
      </c>
      <c r="B488" t="str">
        <f>IF(A488="","",MASTER_RAW_MATERIALS!D488)</f>
        <v/>
      </c>
      <c r="C488" t="str">
        <f>IF(A488="","",SUMIFS(PURCHASES!E:E,PURCHASES!D:D,A488))</f>
        <v/>
      </c>
      <c r="D488" t="str">
        <f>IF(A488="","",SUMIFS(PRODUCTION_REPORT!E:E,PRODUCTION_REPORT!D:D,A488)+SUMIFS(PRODUCTION_REPORT!G:G,PRODUCTION_REPORT!F:F,A488)+SUMIFS(PRODUCTION_REPORT!I:I,PRODUCTION_REPORT!H:H,A488)+SUMIFS(PRODUCTION_REPORT!K:K,PRODUCTION_REPORT!J:J,A488)+SUMIFS(PRODUCTION_REPORT!M:M,PRODUCTION_REPORT!L:L,A488)+SUMIFS(PRODUCTION_REPORT!O:O,PRODUCTION_REPORT!N:N,A488))</f>
        <v/>
      </c>
      <c r="E488" t="str">
        <f t="shared" si="14"/>
        <v/>
      </c>
      <c r="F488" t="str">
        <f>IF(A488="","",_xludf.XLOOKUP(A488,MASTER_RAW_MATERIALS!B:B,MASTER_RAW_MATERIALS!E:E,0))</f>
        <v/>
      </c>
      <c r="G488" t="str">
        <f t="shared" si="15"/>
        <v/>
      </c>
    </row>
    <row r="489" spans="1:7" x14ac:dyDescent="0.2">
      <c r="A489" t="str">
        <f>IF(MASTER_RAW_MATERIALS!B489="","",MASTER_RAW_MATERIALS!B489)</f>
        <v/>
      </c>
      <c r="B489" t="str">
        <f>IF(A489="","",MASTER_RAW_MATERIALS!D489)</f>
        <v/>
      </c>
      <c r="C489" t="str">
        <f>IF(A489="","",SUMIFS(PURCHASES!E:E,PURCHASES!D:D,A489))</f>
        <v/>
      </c>
      <c r="D489" t="str">
        <f>IF(A489="","",SUMIFS(PRODUCTION_REPORT!E:E,PRODUCTION_REPORT!D:D,A489)+SUMIFS(PRODUCTION_REPORT!G:G,PRODUCTION_REPORT!F:F,A489)+SUMIFS(PRODUCTION_REPORT!I:I,PRODUCTION_REPORT!H:H,A489)+SUMIFS(PRODUCTION_REPORT!K:K,PRODUCTION_REPORT!J:J,A489)+SUMIFS(PRODUCTION_REPORT!M:M,PRODUCTION_REPORT!L:L,A489)+SUMIFS(PRODUCTION_REPORT!O:O,PRODUCTION_REPORT!N:N,A489))</f>
        <v/>
      </c>
      <c r="E489" t="str">
        <f t="shared" si="14"/>
        <v/>
      </c>
      <c r="F489" t="str">
        <f>IF(A489="","",_xludf.XLOOKUP(A489,MASTER_RAW_MATERIALS!B:B,MASTER_RAW_MATERIALS!E:E,0))</f>
        <v/>
      </c>
      <c r="G489" t="str">
        <f t="shared" si="15"/>
        <v/>
      </c>
    </row>
    <row r="490" spans="1:7" x14ac:dyDescent="0.2">
      <c r="A490" t="str">
        <f>IF(MASTER_RAW_MATERIALS!B490="","",MASTER_RAW_MATERIALS!B490)</f>
        <v/>
      </c>
      <c r="B490" t="str">
        <f>IF(A490="","",MASTER_RAW_MATERIALS!D490)</f>
        <v/>
      </c>
      <c r="C490" t="str">
        <f>IF(A490="","",SUMIFS(PURCHASES!E:E,PURCHASES!D:D,A490))</f>
        <v/>
      </c>
      <c r="D490" t="str">
        <f>IF(A490="","",SUMIFS(PRODUCTION_REPORT!E:E,PRODUCTION_REPORT!D:D,A490)+SUMIFS(PRODUCTION_REPORT!G:G,PRODUCTION_REPORT!F:F,A490)+SUMIFS(PRODUCTION_REPORT!I:I,PRODUCTION_REPORT!H:H,A490)+SUMIFS(PRODUCTION_REPORT!K:K,PRODUCTION_REPORT!J:J,A490)+SUMIFS(PRODUCTION_REPORT!M:M,PRODUCTION_REPORT!L:L,A490)+SUMIFS(PRODUCTION_REPORT!O:O,PRODUCTION_REPORT!N:N,A490))</f>
        <v/>
      </c>
      <c r="E490" t="str">
        <f t="shared" si="14"/>
        <v/>
      </c>
      <c r="F490" t="str">
        <f>IF(A490="","",_xludf.XLOOKUP(A490,MASTER_RAW_MATERIALS!B:B,MASTER_RAW_MATERIALS!E:E,0))</f>
        <v/>
      </c>
      <c r="G490" t="str">
        <f t="shared" si="15"/>
        <v/>
      </c>
    </row>
    <row r="491" spans="1:7" x14ac:dyDescent="0.2">
      <c r="A491" t="str">
        <f>IF(MASTER_RAW_MATERIALS!B491="","",MASTER_RAW_MATERIALS!B491)</f>
        <v/>
      </c>
      <c r="B491" t="str">
        <f>IF(A491="","",MASTER_RAW_MATERIALS!D491)</f>
        <v/>
      </c>
      <c r="C491" t="str">
        <f>IF(A491="","",SUMIFS(PURCHASES!E:E,PURCHASES!D:D,A491))</f>
        <v/>
      </c>
      <c r="D491" t="str">
        <f>IF(A491="","",SUMIFS(PRODUCTION_REPORT!E:E,PRODUCTION_REPORT!D:D,A491)+SUMIFS(PRODUCTION_REPORT!G:G,PRODUCTION_REPORT!F:F,A491)+SUMIFS(PRODUCTION_REPORT!I:I,PRODUCTION_REPORT!H:H,A491)+SUMIFS(PRODUCTION_REPORT!K:K,PRODUCTION_REPORT!J:J,A491)+SUMIFS(PRODUCTION_REPORT!M:M,PRODUCTION_REPORT!L:L,A491)+SUMIFS(PRODUCTION_REPORT!O:O,PRODUCTION_REPORT!N:N,A491))</f>
        <v/>
      </c>
      <c r="E491" t="str">
        <f t="shared" si="14"/>
        <v/>
      </c>
      <c r="F491" t="str">
        <f>IF(A491="","",_xludf.XLOOKUP(A491,MASTER_RAW_MATERIALS!B:B,MASTER_RAW_MATERIALS!E:E,0))</f>
        <v/>
      </c>
      <c r="G491" t="str">
        <f t="shared" si="15"/>
        <v/>
      </c>
    </row>
    <row r="492" spans="1:7" x14ac:dyDescent="0.2">
      <c r="A492" t="str">
        <f>IF(MASTER_RAW_MATERIALS!B492="","",MASTER_RAW_MATERIALS!B492)</f>
        <v/>
      </c>
      <c r="B492" t="str">
        <f>IF(A492="","",MASTER_RAW_MATERIALS!D492)</f>
        <v/>
      </c>
      <c r="C492" t="str">
        <f>IF(A492="","",SUMIFS(PURCHASES!E:E,PURCHASES!D:D,A492))</f>
        <v/>
      </c>
      <c r="D492" t="str">
        <f>IF(A492="","",SUMIFS(PRODUCTION_REPORT!E:E,PRODUCTION_REPORT!D:D,A492)+SUMIFS(PRODUCTION_REPORT!G:G,PRODUCTION_REPORT!F:F,A492)+SUMIFS(PRODUCTION_REPORT!I:I,PRODUCTION_REPORT!H:H,A492)+SUMIFS(PRODUCTION_REPORT!K:K,PRODUCTION_REPORT!J:J,A492)+SUMIFS(PRODUCTION_REPORT!M:M,PRODUCTION_REPORT!L:L,A492)+SUMIFS(PRODUCTION_REPORT!O:O,PRODUCTION_REPORT!N:N,A492))</f>
        <v/>
      </c>
      <c r="E492" t="str">
        <f t="shared" si="14"/>
        <v/>
      </c>
      <c r="F492" t="str">
        <f>IF(A492="","",_xludf.XLOOKUP(A492,MASTER_RAW_MATERIALS!B:B,MASTER_RAW_MATERIALS!E:E,0))</f>
        <v/>
      </c>
      <c r="G492" t="str">
        <f t="shared" si="15"/>
        <v/>
      </c>
    </row>
    <row r="493" spans="1:7" x14ac:dyDescent="0.2">
      <c r="A493" t="str">
        <f>IF(MASTER_RAW_MATERIALS!B493="","",MASTER_RAW_MATERIALS!B493)</f>
        <v/>
      </c>
      <c r="B493" t="str">
        <f>IF(A493="","",MASTER_RAW_MATERIALS!D493)</f>
        <v/>
      </c>
      <c r="C493" t="str">
        <f>IF(A493="","",SUMIFS(PURCHASES!E:E,PURCHASES!D:D,A493))</f>
        <v/>
      </c>
      <c r="D493" t="str">
        <f>IF(A493="","",SUMIFS(PRODUCTION_REPORT!E:E,PRODUCTION_REPORT!D:D,A493)+SUMIFS(PRODUCTION_REPORT!G:G,PRODUCTION_REPORT!F:F,A493)+SUMIFS(PRODUCTION_REPORT!I:I,PRODUCTION_REPORT!H:H,A493)+SUMIFS(PRODUCTION_REPORT!K:K,PRODUCTION_REPORT!J:J,A493)+SUMIFS(PRODUCTION_REPORT!M:M,PRODUCTION_REPORT!L:L,A493)+SUMIFS(PRODUCTION_REPORT!O:O,PRODUCTION_REPORT!N:N,A493))</f>
        <v/>
      </c>
      <c r="E493" t="str">
        <f t="shared" si="14"/>
        <v/>
      </c>
      <c r="F493" t="str">
        <f>IF(A493="","",_xludf.XLOOKUP(A493,MASTER_RAW_MATERIALS!B:B,MASTER_RAW_MATERIALS!E:E,0))</f>
        <v/>
      </c>
      <c r="G493" t="str">
        <f t="shared" si="15"/>
        <v/>
      </c>
    </row>
    <row r="494" spans="1:7" x14ac:dyDescent="0.2">
      <c r="A494" t="str">
        <f>IF(MASTER_RAW_MATERIALS!B494="","",MASTER_RAW_MATERIALS!B494)</f>
        <v/>
      </c>
      <c r="B494" t="str">
        <f>IF(A494="","",MASTER_RAW_MATERIALS!D494)</f>
        <v/>
      </c>
      <c r="C494" t="str">
        <f>IF(A494="","",SUMIFS(PURCHASES!E:E,PURCHASES!D:D,A494))</f>
        <v/>
      </c>
      <c r="D494" t="str">
        <f>IF(A494="","",SUMIFS(PRODUCTION_REPORT!E:E,PRODUCTION_REPORT!D:D,A494)+SUMIFS(PRODUCTION_REPORT!G:G,PRODUCTION_REPORT!F:F,A494)+SUMIFS(PRODUCTION_REPORT!I:I,PRODUCTION_REPORT!H:H,A494)+SUMIFS(PRODUCTION_REPORT!K:K,PRODUCTION_REPORT!J:J,A494)+SUMIFS(PRODUCTION_REPORT!M:M,PRODUCTION_REPORT!L:L,A494)+SUMIFS(PRODUCTION_REPORT!O:O,PRODUCTION_REPORT!N:N,A494))</f>
        <v/>
      </c>
      <c r="E494" t="str">
        <f t="shared" si="14"/>
        <v/>
      </c>
      <c r="F494" t="str">
        <f>IF(A494="","",_xludf.XLOOKUP(A494,MASTER_RAW_MATERIALS!B:B,MASTER_RAW_MATERIALS!E:E,0))</f>
        <v/>
      </c>
      <c r="G494" t="str">
        <f t="shared" si="15"/>
        <v/>
      </c>
    </row>
    <row r="495" spans="1:7" x14ac:dyDescent="0.2">
      <c r="A495" t="str">
        <f>IF(MASTER_RAW_MATERIALS!B495="","",MASTER_RAW_MATERIALS!B495)</f>
        <v/>
      </c>
      <c r="B495" t="str">
        <f>IF(A495="","",MASTER_RAW_MATERIALS!D495)</f>
        <v/>
      </c>
      <c r="C495" t="str">
        <f>IF(A495="","",SUMIFS(PURCHASES!E:E,PURCHASES!D:D,A495))</f>
        <v/>
      </c>
      <c r="D495" t="str">
        <f>IF(A495="","",SUMIFS(PRODUCTION_REPORT!E:E,PRODUCTION_REPORT!D:D,A495)+SUMIFS(PRODUCTION_REPORT!G:G,PRODUCTION_REPORT!F:F,A495)+SUMIFS(PRODUCTION_REPORT!I:I,PRODUCTION_REPORT!H:H,A495)+SUMIFS(PRODUCTION_REPORT!K:K,PRODUCTION_REPORT!J:J,A495)+SUMIFS(PRODUCTION_REPORT!M:M,PRODUCTION_REPORT!L:L,A495)+SUMIFS(PRODUCTION_REPORT!O:O,PRODUCTION_REPORT!N:N,A495))</f>
        <v/>
      </c>
      <c r="E495" t="str">
        <f t="shared" si="14"/>
        <v/>
      </c>
      <c r="F495" t="str">
        <f>IF(A495="","",_xludf.XLOOKUP(A495,MASTER_RAW_MATERIALS!B:B,MASTER_RAW_MATERIALS!E:E,0))</f>
        <v/>
      </c>
      <c r="G495" t="str">
        <f t="shared" si="15"/>
        <v/>
      </c>
    </row>
    <row r="496" spans="1:7" x14ac:dyDescent="0.2">
      <c r="A496" t="str">
        <f>IF(MASTER_RAW_MATERIALS!B496="","",MASTER_RAW_MATERIALS!B496)</f>
        <v/>
      </c>
      <c r="B496" t="str">
        <f>IF(A496="","",MASTER_RAW_MATERIALS!D496)</f>
        <v/>
      </c>
      <c r="C496" t="str">
        <f>IF(A496="","",SUMIFS(PURCHASES!E:E,PURCHASES!D:D,A496))</f>
        <v/>
      </c>
      <c r="D496" t="str">
        <f>IF(A496="","",SUMIFS(PRODUCTION_REPORT!E:E,PRODUCTION_REPORT!D:D,A496)+SUMIFS(PRODUCTION_REPORT!G:G,PRODUCTION_REPORT!F:F,A496)+SUMIFS(PRODUCTION_REPORT!I:I,PRODUCTION_REPORT!H:H,A496)+SUMIFS(PRODUCTION_REPORT!K:K,PRODUCTION_REPORT!J:J,A496)+SUMIFS(PRODUCTION_REPORT!M:M,PRODUCTION_REPORT!L:L,A496)+SUMIFS(PRODUCTION_REPORT!O:O,PRODUCTION_REPORT!N:N,A496))</f>
        <v/>
      </c>
      <c r="E496" t="str">
        <f t="shared" si="14"/>
        <v/>
      </c>
      <c r="F496" t="str">
        <f>IF(A496="","",_xludf.XLOOKUP(A496,MASTER_RAW_MATERIALS!B:B,MASTER_RAW_MATERIALS!E:E,0))</f>
        <v/>
      </c>
      <c r="G496" t="str">
        <f t="shared" si="15"/>
        <v/>
      </c>
    </row>
    <row r="497" spans="1:7" x14ac:dyDescent="0.2">
      <c r="A497" t="str">
        <f>IF(MASTER_RAW_MATERIALS!B497="","",MASTER_RAW_MATERIALS!B497)</f>
        <v/>
      </c>
      <c r="B497" t="str">
        <f>IF(A497="","",MASTER_RAW_MATERIALS!D497)</f>
        <v/>
      </c>
      <c r="C497" t="str">
        <f>IF(A497="","",SUMIFS(PURCHASES!E:E,PURCHASES!D:D,A497))</f>
        <v/>
      </c>
      <c r="D497" t="str">
        <f>IF(A497="","",SUMIFS(PRODUCTION_REPORT!E:E,PRODUCTION_REPORT!D:D,A497)+SUMIFS(PRODUCTION_REPORT!G:G,PRODUCTION_REPORT!F:F,A497)+SUMIFS(PRODUCTION_REPORT!I:I,PRODUCTION_REPORT!H:H,A497)+SUMIFS(PRODUCTION_REPORT!K:K,PRODUCTION_REPORT!J:J,A497)+SUMIFS(PRODUCTION_REPORT!M:M,PRODUCTION_REPORT!L:L,A497)+SUMIFS(PRODUCTION_REPORT!O:O,PRODUCTION_REPORT!N:N,A497))</f>
        <v/>
      </c>
      <c r="E497" t="str">
        <f t="shared" si="14"/>
        <v/>
      </c>
      <c r="F497" t="str">
        <f>IF(A497="","",_xludf.XLOOKUP(A497,MASTER_RAW_MATERIALS!B:B,MASTER_RAW_MATERIALS!E:E,0))</f>
        <v/>
      </c>
      <c r="G497" t="str">
        <f t="shared" si="15"/>
        <v/>
      </c>
    </row>
    <row r="498" spans="1:7" x14ac:dyDescent="0.2">
      <c r="A498" t="str">
        <f>IF(MASTER_RAW_MATERIALS!B498="","",MASTER_RAW_MATERIALS!B498)</f>
        <v/>
      </c>
      <c r="B498" t="str">
        <f>IF(A498="","",MASTER_RAW_MATERIALS!D498)</f>
        <v/>
      </c>
      <c r="C498" t="str">
        <f>IF(A498="","",SUMIFS(PURCHASES!E:E,PURCHASES!D:D,A498))</f>
        <v/>
      </c>
      <c r="D498" t="str">
        <f>IF(A498="","",SUMIFS(PRODUCTION_REPORT!E:E,PRODUCTION_REPORT!D:D,A498)+SUMIFS(PRODUCTION_REPORT!G:G,PRODUCTION_REPORT!F:F,A498)+SUMIFS(PRODUCTION_REPORT!I:I,PRODUCTION_REPORT!H:H,A498)+SUMIFS(PRODUCTION_REPORT!K:K,PRODUCTION_REPORT!J:J,A498)+SUMIFS(PRODUCTION_REPORT!M:M,PRODUCTION_REPORT!L:L,A498)+SUMIFS(PRODUCTION_REPORT!O:O,PRODUCTION_REPORT!N:N,A498))</f>
        <v/>
      </c>
      <c r="E498" t="str">
        <f t="shared" si="14"/>
        <v/>
      </c>
      <c r="F498" t="str">
        <f>IF(A498="","",_xludf.XLOOKUP(A498,MASTER_RAW_MATERIALS!B:B,MASTER_RAW_MATERIALS!E:E,0))</f>
        <v/>
      </c>
      <c r="G498" t="str">
        <f t="shared" si="15"/>
        <v/>
      </c>
    </row>
    <row r="499" spans="1:7" x14ac:dyDescent="0.2">
      <c r="A499" t="str">
        <f>IF(MASTER_RAW_MATERIALS!B499="","",MASTER_RAW_MATERIALS!B499)</f>
        <v/>
      </c>
      <c r="B499" t="str">
        <f>IF(A499="","",MASTER_RAW_MATERIALS!D499)</f>
        <v/>
      </c>
      <c r="C499" t="str">
        <f>IF(A499="","",SUMIFS(PURCHASES!E:E,PURCHASES!D:D,A499))</f>
        <v/>
      </c>
      <c r="D499" t="str">
        <f>IF(A499="","",SUMIFS(PRODUCTION_REPORT!E:E,PRODUCTION_REPORT!D:D,A499)+SUMIFS(PRODUCTION_REPORT!G:G,PRODUCTION_REPORT!F:F,A499)+SUMIFS(PRODUCTION_REPORT!I:I,PRODUCTION_REPORT!H:H,A499)+SUMIFS(PRODUCTION_REPORT!K:K,PRODUCTION_REPORT!J:J,A499)+SUMIFS(PRODUCTION_REPORT!M:M,PRODUCTION_REPORT!L:L,A499)+SUMIFS(PRODUCTION_REPORT!O:O,PRODUCTION_REPORT!N:N,A499))</f>
        <v/>
      </c>
      <c r="E499" t="str">
        <f t="shared" si="14"/>
        <v/>
      </c>
      <c r="F499" t="str">
        <f>IF(A499="","",_xludf.XLOOKUP(A499,MASTER_RAW_MATERIALS!B:B,MASTER_RAW_MATERIALS!E:E,0))</f>
        <v/>
      </c>
      <c r="G499" t="str">
        <f t="shared" si="15"/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99"/>
  <sheetViews>
    <sheetView topLeftCell="A14" workbookViewId="0">
      <selection activeCell="D35" sqref="D35"/>
    </sheetView>
  </sheetViews>
  <sheetFormatPr baseColWidth="10" defaultColWidth="8.83203125" defaultRowHeight="15" x14ac:dyDescent="0.2"/>
  <cols>
    <col min="1" max="4" width="24" customWidth="1"/>
  </cols>
  <sheetData>
    <row r="1" spans="1:4" x14ac:dyDescent="0.2">
      <c r="A1" s="1" t="s">
        <v>20</v>
      </c>
      <c r="B1" s="1" t="s">
        <v>49</v>
      </c>
      <c r="C1" s="1" t="s">
        <v>50</v>
      </c>
      <c r="D1" s="1" t="s">
        <v>51</v>
      </c>
    </row>
    <row r="2" spans="1:4" x14ac:dyDescent="0.2">
      <c r="A2" t="str">
        <f>IF(MASTER_PRODUCTS!B2="","",MASTER_PRODUCTS!B2)</f>
        <v>AVION STRAWS</v>
      </c>
      <c r="B2">
        <f>IF(A2="","",SUMIFS(PRODUCTION_REPORT!C:C,PRODUCTION_REPORT!B:B,A2))</f>
        <v>0</v>
      </c>
      <c r="C2">
        <f>IF(A2="","",SUMIFS(SALES!E:E,SALES!D:D,A2))</f>
        <v>0</v>
      </c>
      <c r="D2">
        <f t="shared" ref="D2:D65" si="0">IF(A2="","",B2-C2)</f>
        <v>0</v>
      </c>
    </row>
    <row r="3" spans="1:4" x14ac:dyDescent="0.2">
      <c r="A3" t="str">
        <f>IF(MASTER_PRODUCTS!B3="","",MASTER_PRODUCTS!B3)</f>
        <v>WAVEX STRAWS</v>
      </c>
      <c r="B3">
        <f>IF(A3="","",SUMIFS(PRODUCTION_REPORT!C:C,PRODUCTION_REPORT!B:B,A3))</f>
        <v>0</v>
      </c>
      <c r="C3">
        <f>IF(A3="","",SUMIFS(SALES!E:E,SALES!D:D,A3))</f>
        <v>0</v>
      </c>
      <c r="D3">
        <f t="shared" si="0"/>
        <v>0</v>
      </c>
    </row>
    <row r="4" spans="1:4" x14ac:dyDescent="0.2">
      <c r="A4" t="str">
        <f>IF(MASTER_PRODUCTS!B4="","",MASTER_PRODUCTS!B4)</f>
        <v>CHINESE JUICE STRAWS</v>
      </c>
      <c r="B4">
        <f>IF(A4="","",SUMIFS(PRODUCTION_REPORT!C:C,PRODUCTION_REPORT!B:B,A4))</f>
        <v>0</v>
      </c>
      <c r="C4">
        <f>IF(A4="","",SUMIFS(SALES!E:E,SALES!D:D,A4))</f>
        <v>0</v>
      </c>
      <c r="D4">
        <f t="shared" si="0"/>
        <v>0</v>
      </c>
    </row>
    <row r="5" spans="1:4" x14ac:dyDescent="0.2">
      <c r="A5" t="str">
        <f>IF(MASTER_PRODUCTS!B5="","",MASTER_PRODUCTS!B5)</f>
        <v>MUZURI STICKS 105MM</v>
      </c>
      <c r="B5">
        <f>IF(A5="","",SUMIFS(PRODUCTION_REPORT!C:C,PRODUCTION_REPORT!B:B,A5))</f>
        <v>0</v>
      </c>
      <c r="C5">
        <f>IF(A5="","",SUMIFS(SALES!E:E,SALES!D:D,A5))</f>
        <v>0</v>
      </c>
      <c r="D5">
        <f t="shared" si="0"/>
        <v>0</v>
      </c>
    </row>
    <row r="6" spans="1:4" x14ac:dyDescent="0.2">
      <c r="A6" t="str">
        <f>IF(MASTER_PRODUCTS!B6="","",MASTER_PRODUCTS!B6)</f>
        <v>MUZURI STICKS 69MM</v>
      </c>
      <c r="B6">
        <f>IF(A6="","",SUMIFS(PRODUCTION_REPORT!C:C,PRODUCTION_REPORT!B:B,A6))</f>
        <v>0</v>
      </c>
      <c r="C6">
        <f>IF(A6="","",SUMIFS(SALES!E:E,SALES!D:D,A6))</f>
        <v>0</v>
      </c>
      <c r="D6">
        <f t="shared" si="0"/>
        <v>0</v>
      </c>
    </row>
    <row r="7" spans="1:4" x14ac:dyDescent="0.2">
      <c r="A7" t="str">
        <f>IF(MASTER_PRODUCTS!B7="","",MASTER_PRODUCTS!B7)</f>
        <v>MUZURI STICKS 175MM</v>
      </c>
      <c r="B7">
        <f>IF(A7="","",SUMIFS(PRODUCTION_REPORT!C:C,PRODUCTION_REPORT!B:B,A7))</f>
        <v>0</v>
      </c>
      <c r="C7">
        <f>IF(A7="","",SUMIFS(SALES!E:E,SALES!D:D,A7))</f>
        <v>0</v>
      </c>
      <c r="D7">
        <f t="shared" si="0"/>
        <v>0</v>
      </c>
    </row>
    <row r="8" spans="1:4" x14ac:dyDescent="0.2">
      <c r="A8" t="str">
        <f>IF(MASTER_PRODUCTS!B8="","",MASTER_PRODUCTS!B8)</f>
        <v>CANDY STICKS 95MM</v>
      </c>
      <c r="B8">
        <f>IF(A8="","",SUMIFS(PRODUCTION_REPORT!C:C,PRODUCTION_REPORT!B:B,A8))</f>
        <v>0</v>
      </c>
      <c r="C8">
        <f>IF(A8="","",SUMIFS(SALES!E:E,SALES!D:D,A8))</f>
        <v>0</v>
      </c>
      <c r="D8">
        <f t="shared" si="0"/>
        <v>0</v>
      </c>
    </row>
    <row r="9" spans="1:4" x14ac:dyDescent="0.2">
      <c r="A9" t="str">
        <f>IF(MASTER_PRODUCTS!B9="","",MASTER_PRODUCTS!B9)</f>
        <v>MUKONO STICKS 175MM</v>
      </c>
      <c r="B9">
        <f>IF(A9="","",SUMIFS(PRODUCTION_REPORT!C:C,PRODUCTION_REPORT!B:B,A9))</f>
        <v>0</v>
      </c>
      <c r="C9">
        <f>IF(A9="","",SUMIFS(SALES!E:E,SALES!D:D,A9))</f>
        <v>0</v>
      </c>
      <c r="D9">
        <f t="shared" si="0"/>
        <v>0</v>
      </c>
    </row>
    <row r="10" spans="1:4" x14ac:dyDescent="0.2">
      <c r="A10" t="str">
        <f>IF(MASTER_PRODUCTS!B10="","",MASTER_PRODUCTS!B10)</f>
        <v>MUKONO STICKS 105MM</v>
      </c>
      <c r="B10">
        <f>IF(A10="","",SUMIFS(PRODUCTION_REPORT!C:C,PRODUCTION_REPORT!B:B,A10))</f>
        <v>0</v>
      </c>
      <c r="C10">
        <f>IF(A10="","",SUMIFS(SALES!E:E,SALES!D:D,A10))</f>
        <v>0</v>
      </c>
      <c r="D10">
        <f t="shared" si="0"/>
        <v>0</v>
      </c>
    </row>
    <row r="11" spans="1:4" x14ac:dyDescent="0.2">
      <c r="A11" t="str">
        <f>IF(MASTER_PRODUCTS!B11="","",MASTER_PRODUCTS!B11)</f>
        <v>NEW STICK CUSTOMER 1</v>
      </c>
      <c r="B11">
        <f>IF(A11="","",SUMIFS(PRODUCTION_REPORT!C:C,PRODUCTION_REPORT!B:B,A11))</f>
        <v>0</v>
      </c>
      <c r="C11">
        <f>IF(A11="","",SUMIFS(SALES!E:E,SALES!D:D,A11))</f>
        <v>0</v>
      </c>
      <c r="D11">
        <f t="shared" si="0"/>
        <v>0</v>
      </c>
    </row>
    <row r="12" spans="1:4" x14ac:dyDescent="0.2">
      <c r="A12" t="str">
        <f>IF(MASTER_PRODUCTS!B12="","",MASTER_PRODUCTS!B12)</f>
        <v>NEW STICK CUSTOMER 2</v>
      </c>
      <c r="B12">
        <f>IF(A12="","",SUMIFS(PRODUCTION_REPORT!C:C,PRODUCTION_REPORT!B:B,A12))</f>
        <v>0</v>
      </c>
      <c r="C12">
        <f>IF(A12="","",SUMIFS(SALES!E:E,SALES!D:D,A12))</f>
        <v>0</v>
      </c>
      <c r="D12">
        <f t="shared" si="0"/>
        <v>0</v>
      </c>
    </row>
    <row r="13" spans="1:4" x14ac:dyDescent="0.2">
      <c r="A13" t="str">
        <f>IF(MASTER_PRODUCTS!B13="","",MASTER_PRODUCTS!B13)</f>
        <v>NEW STICK CUSTOMER 3</v>
      </c>
      <c r="B13">
        <f>IF(A13="","",SUMIFS(PRODUCTION_REPORT!C:C,PRODUCTION_REPORT!B:B,A13))</f>
        <v>0</v>
      </c>
      <c r="C13">
        <f>IF(A13="","",SUMIFS(SALES!E:E,SALES!D:D,A13))</f>
        <v>0</v>
      </c>
      <c r="D13">
        <f t="shared" si="0"/>
        <v>0</v>
      </c>
    </row>
    <row r="14" spans="1:4" x14ac:dyDescent="0.2">
      <c r="A14" t="str">
        <f>IF(MASTER_PRODUCTS!B14="","",MASTER_PRODUCTS!B14)</f>
        <v>NEW STICK CUSTOMER 4</v>
      </c>
      <c r="B14">
        <f>IF(A14="","",SUMIFS(PRODUCTION_REPORT!C:C,PRODUCTION_REPORT!B:B,A14))</f>
        <v>0</v>
      </c>
      <c r="C14">
        <f>IF(A14="","",SUMIFS(SALES!E:E,SALES!D:D,A14))</f>
        <v>0</v>
      </c>
      <c r="D14">
        <f t="shared" si="0"/>
        <v>0</v>
      </c>
    </row>
    <row r="15" spans="1:4" x14ac:dyDescent="0.2">
      <c r="A15" t="str">
        <f>IF(MASTER_PRODUCTS!B15="","",MASTER_PRODUCTS!B15)</f>
        <v>NEW STICK CUSTOMER 5</v>
      </c>
      <c r="B15">
        <f>IF(A15="","",SUMIFS(PRODUCTION_REPORT!C:C,PRODUCTION_REPORT!B:B,A15))</f>
        <v>0</v>
      </c>
      <c r="C15">
        <f>IF(A15="","",SUMIFS(SALES!E:E,SALES!D:D,A15))</f>
        <v>0</v>
      </c>
      <c r="D15">
        <f t="shared" si="0"/>
        <v>0</v>
      </c>
    </row>
    <row r="16" spans="1:4" x14ac:dyDescent="0.2">
      <c r="A16" t="str">
        <f>IF(MASTER_PRODUCTS!B16="","",MASTER_PRODUCTS!B16)</f>
        <v>NEW STICK CUSTOMER 6</v>
      </c>
      <c r="B16">
        <f>IF(A16="","",SUMIFS(PRODUCTION_REPORT!C:C,PRODUCTION_REPORT!B:B,A16))</f>
        <v>0</v>
      </c>
      <c r="C16">
        <f>IF(A16="","",SUMIFS(SALES!E:E,SALES!D:D,A16))</f>
        <v>0</v>
      </c>
      <c r="D16">
        <f t="shared" si="0"/>
        <v>0</v>
      </c>
    </row>
    <row r="17" spans="1:4" x14ac:dyDescent="0.2">
      <c r="A17" t="str">
        <f>IF(MASTER_PRODUCTS!B17="","",MASTER_PRODUCTS!B17)</f>
        <v>NEW STICK CUSTOMER 7</v>
      </c>
      <c r="B17">
        <f>IF(A17="","",SUMIFS(PRODUCTION_REPORT!C:C,PRODUCTION_REPORT!B:B,A17))</f>
        <v>0</v>
      </c>
      <c r="C17">
        <f>IF(A17="","",SUMIFS(SALES!E:E,SALES!D:D,A17))</f>
        <v>0</v>
      </c>
      <c r="D17">
        <f t="shared" si="0"/>
        <v>0</v>
      </c>
    </row>
    <row r="18" spans="1:4" x14ac:dyDescent="0.2">
      <c r="A18" t="str">
        <f>IF(MASTER_PRODUCTS!B18="","",MASTER_PRODUCTS!B18)</f>
        <v>NEW STICK CUSTOMER 8</v>
      </c>
      <c r="B18">
        <f>IF(A18="","",SUMIFS(PRODUCTION_REPORT!C:C,PRODUCTION_REPORT!B:B,A18))</f>
        <v>0</v>
      </c>
      <c r="C18">
        <f>IF(A18="","",SUMIFS(SALES!E:E,SALES!D:D,A18))</f>
        <v>0</v>
      </c>
      <c r="D18">
        <f t="shared" si="0"/>
        <v>0</v>
      </c>
    </row>
    <row r="19" spans="1:4" x14ac:dyDescent="0.2">
      <c r="A19" t="str">
        <f>IF(MASTER_PRODUCTS!B19="","",MASTER_PRODUCTS!B19)</f>
        <v>AVION 10 MTR X 45CM FOIL</v>
      </c>
      <c r="B19">
        <f>IF(A19="","",SUMIFS(PRODUCTION_REPORT!C:C,PRODUCTION_REPORT!B:B,A19))</f>
        <v>0</v>
      </c>
      <c r="C19">
        <f>IF(A19="","",SUMIFS(SALES!E:E,SALES!D:D,A19))</f>
        <v>0</v>
      </c>
      <c r="D19">
        <f t="shared" si="0"/>
        <v>0</v>
      </c>
    </row>
    <row r="20" spans="1:4" x14ac:dyDescent="0.2">
      <c r="A20" t="str">
        <f>IF(MASTER_PRODUCTS!B20="","",MASTER_PRODUCTS!B20)</f>
        <v>AVION 30 MTR X 45CM FOIL</v>
      </c>
      <c r="B20">
        <f>IF(A20="","",SUMIFS(PRODUCTION_REPORT!C:C,PRODUCTION_REPORT!B:B,A20))</f>
        <v>0</v>
      </c>
      <c r="C20">
        <f>IF(A20="","",SUMIFS(SALES!E:E,SALES!D:D,A20))</f>
        <v>0</v>
      </c>
      <c r="D20">
        <f t="shared" si="0"/>
        <v>0</v>
      </c>
    </row>
    <row r="21" spans="1:4" x14ac:dyDescent="0.2">
      <c r="A21" t="str">
        <f>IF(MASTER_PRODUCTS!B21="","",MASTER_PRODUCTS!B21)</f>
        <v>AVION 90 MTR X 45CM FOIL</v>
      </c>
      <c r="B21">
        <f>IF(A21="","",SUMIFS(PRODUCTION_REPORT!C:C,PRODUCTION_REPORT!B:B,A21))</f>
        <v>0</v>
      </c>
      <c r="C21">
        <f>IF(A21="","",SUMIFS(SALES!E:E,SALES!D:D,A21))</f>
        <v>0</v>
      </c>
      <c r="D21">
        <f t="shared" si="0"/>
        <v>0</v>
      </c>
    </row>
    <row r="22" spans="1:4" x14ac:dyDescent="0.2">
      <c r="A22" t="str">
        <f>IF(MASTER_PRODUCTS!B22="","",MASTER_PRODUCTS!B22)</f>
        <v>AVION 150 MTR X 45CM FOIL</v>
      </c>
      <c r="B22">
        <f>IF(A22="","",SUMIFS(PRODUCTION_REPORT!C:C,PRODUCTION_REPORT!B:B,A22))</f>
        <v>0</v>
      </c>
      <c r="C22">
        <f>IF(A22="","",SUMIFS(SALES!E:E,SALES!D:D,A22))</f>
        <v>0</v>
      </c>
      <c r="D22">
        <f t="shared" si="0"/>
        <v>0</v>
      </c>
    </row>
    <row r="23" spans="1:4" x14ac:dyDescent="0.2">
      <c r="A23" t="str">
        <f>IF(MASTER_PRODUCTS!B23="","",MASTER_PRODUCTS!B23)</f>
        <v>AVION 5 MTR X 30CM FOIL</v>
      </c>
      <c r="B23">
        <f>IF(A23="","",SUMIFS(PRODUCTION_REPORT!C:C,PRODUCTION_REPORT!B:B,A23))</f>
        <v>0</v>
      </c>
      <c r="C23">
        <f>IF(A23="","",SUMIFS(SALES!E:E,SALES!D:D,A23))</f>
        <v>0</v>
      </c>
      <c r="D23">
        <f t="shared" si="0"/>
        <v>0</v>
      </c>
    </row>
    <row r="24" spans="1:4" x14ac:dyDescent="0.2">
      <c r="A24" t="str">
        <f>IF(MASTER_PRODUCTS!B24="","",MASTER_PRODUCTS!B24)</f>
        <v>GOLDEN 150 MTR X 30CM FOIL</v>
      </c>
      <c r="B24">
        <f>IF(A24="","",SUMIFS(PRODUCTION_REPORT!C:C,PRODUCTION_REPORT!B:B,A24))</f>
        <v>0</v>
      </c>
      <c r="C24">
        <f>IF(A24="","",SUMIFS(SALES!E:E,SALES!D:D,A24))</f>
        <v>0</v>
      </c>
      <c r="D24">
        <f t="shared" si="0"/>
        <v>0</v>
      </c>
    </row>
    <row r="25" spans="1:4" x14ac:dyDescent="0.2">
      <c r="A25" t="str">
        <f>IF(MASTER_PRODUCTS!B25="","",MASTER_PRODUCTS!B25)</f>
        <v>GOLDEN 30 MTR X 45CM FOIL</v>
      </c>
      <c r="B25">
        <f>IF(A25="","",SUMIFS(PRODUCTION_REPORT!C:C,PRODUCTION_REPORT!B:B,A25))</f>
        <v>0</v>
      </c>
      <c r="C25">
        <f>IF(A25="","",SUMIFS(SALES!E:E,SALES!D:D,A25))</f>
        <v>0</v>
      </c>
      <c r="D25">
        <f t="shared" si="0"/>
        <v>0</v>
      </c>
    </row>
    <row r="26" spans="1:4" x14ac:dyDescent="0.2">
      <c r="A26" t="str">
        <f>IF(MASTER_PRODUCTS!B26="","",MASTER_PRODUCTS!B26)</f>
        <v>GOLDEN 50 MTR X 45CM FOIL</v>
      </c>
      <c r="B26">
        <f>IF(A26="","",SUMIFS(PRODUCTION_REPORT!C:C,PRODUCTION_REPORT!B:B,A26))</f>
        <v>0</v>
      </c>
      <c r="C26">
        <f>IF(A26="","",SUMIFS(SALES!E:E,SALES!D:D,A26))</f>
        <v>0</v>
      </c>
      <c r="D26">
        <f t="shared" si="0"/>
        <v>0</v>
      </c>
    </row>
    <row r="27" spans="1:4" x14ac:dyDescent="0.2">
      <c r="A27" t="str">
        <f>IF(MASTER_PRODUCTS!B27="","",MASTER_PRODUCTS!B27)</f>
        <v>NON GOLDEN 19 MTR X 45CM FOIL</v>
      </c>
      <c r="B27">
        <f>IF(A27="","",SUMIFS(PRODUCTION_REPORT!C:C,PRODUCTION_REPORT!B:B,A27))</f>
        <v>0</v>
      </c>
      <c r="C27">
        <f>IF(A27="","",SUMIFS(SALES!E:E,SALES!D:D,A27))</f>
        <v>0</v>
      </c>
      <c r="D27">
        <f t="shared" si="0"/>
        <v>0</v>
      </c>
    </row>
    <row r="28" spans="1:4" x14ac:dyDescent="0.2">
      <c r="A28" t="str">
        <f>IF(MASTER_PRODUCTS!B28="","",MASTER_PRODUCTS!B28)</f>
        <v>GOLDEN 75 MTR X. 45CM CLING FILM</v>
      </c>
      <c r="B28">
        <f>IF(A28="","",SUMIFS(PRODUCTION_REPORT!C:C,PRODUCTION_REPORT!B:B,A28))</f>
        <v>0</v>
      </c>
      <c r="C28">
        <f>IF(A28="","",SUMIFS(SALES!E:E,SALES!D:D,A28))</f>
        <v>0</v>
      </c>
      <c r="D28">
        <f t="shared" si="0"/>
        <v>0</v>
      </c>
    </row>
    <row r="29" spans="1:4" x14ac:dyDescent="0.2">
      <c r="A29" t="str">
        <f>IF(MASTER_PRODUCTS!B29="","",MASTER_PRODUCTS!B29)</f>
        <v>AVION 100 MTR X 45 CM CLING FILM</v>
      </c>
      <c r="B29">
        <f>IF(A29="","",SUMIFS(PRODUCTION_REPORT!C:C,PRODUCTION_REPORT!B:B,A29))</f>
        <v>0</v>
      </c>
      <c r="C29">
        <f>IF(A29="","",SUMIFS(SALES!E:E,SALES!D:D,A29))</f>
        <v>0</v>
      </c>
      <c r="D29">
        <f t="shared" si="0"/>
        <v>0</v>
      </c>
    </row>
    <row r="30" spans="1:4" x14ac:dyDescent="0.2">
      <c r="A30" t="str">
        <f>IF(MASTER_PRODUCTS!B30="","",MASTER_PRODUCTS!B30)</f>
        <v>AVION 300 MTR X 45 CM CLING FILM</v>
      </c>
      <c r="B30">
        <f>IF(A30="","",SUMIFS(PRODUCTION_REPORT!C:C,PRODUCTION_REPORT!B:B,A30))</f>
        <v>0</v>
      </c>
      <c r="C30">
        <f>IF(A30="","",SUMIFS(SALES!E:E,SALES!D:D,A30))</f>
        <v>0</v>
      </c>
      <c r="D30">
        <f t="shared" si="0"/>
        <v>0</v>
      </c>
    </row>
    <row r="31" spans="1:4" x14ac:dyDescent="0.2">
      <c r="A31" t="str">
        <f>IF(MASTER_PRODUCTS!B31="","",MASTER_PRODUCTS!B31)</f>
        <v>NON GOLDEN 50 MTR X. 45CM CLING FILM</v>
      </c>
      <c r="B31">
        <f>IF(A31="","",SUMIFS(PRODUCTION_REPORT!C:C,PRODUCTION_REPORT!B:B,A31))</f>
        <v>0</v>
      </c>
      <c r="C31">
        <f>IF(A31="","",SUMIFS(SALES!E:E,SALES!D:D,A31))</f>
        <v>0</v>
      </c>
      <c r="D31">
        <f t="shared" si="0"/>
        <v>0</v>
      </c>
    </row>
    <row r="32" spans="1:4" x14ac:dyDescent="0.2">
      <c r="A32" t="str">
        <f>IF(MASTER_PRODUCTS!B32="","",MASTER_PRODUCTS!B32)</f>
        <v>AVION MEDIUM SILVER PLATE 8389(45m)</v>
      </c>
      <c r="B32">
        <f>IF(A32="","",SUMIFS(PRODUCTION_REPORT!C:C,PRODUCTION_REPORT!B:B,A32))</f>
        <v>0</v>
      </c>
      <c r="C32">
        <f>IF(A32="","",SUMIFS(SALES!E:E,SALES!D:D,A32))</f>
        <v>0</v>
      </c>
      <c r="D32">
        <f t="shared" si="0"/>
        <v>0</v>
      </c>
    </row>
    <row r="33" spans="1:4" x14ac:dyDescent="0.2">
      <c r="A33" t="str">
        <f>IF(MASTER_PRODUCTS!B33="","",MASTER_PRODUCTS!B33)</f>
        <v>AVION MEDIUM SILVER PLATE 8389(41m)</v>
      </c>
      <c r="B33">
        <f>IF(A33="","",SUMIFS(PRODUCTION_REPORT!C:C,PRODUCTION_REPORT!B:B,A33))</f>
        <v>0</v>
      </c>
      <c r="C33">
        <f>IF(A33="","",SUMIFS(SALES!E:E,SALES!D:D,A33))</f>
        <v>0</v>
      </c>
      <c r="D33">
        <f t="shared" si="0"/>
        <v>0</v>
      </c>
    </row>
    <row r="34" spans="1:4" x14ac:dyDescent="0.2">
      <c r="A34" t="str">
        <f>IF(MASTER_PRODUCTS!B34="","",MASTER_PRODUCTS!B34)</f>
        <v>AVION SMALL SILVER PLATE 8342</v>
      </c>
      <c r="B34">
        <f>IF(A34="","",SUMIFS(PRODUCTION_REPORT!C:C,PRODUCTION_REPORT!B:B,A34))</f>
        <v>50</v>
      </c>
      <c r="C34">
        <f>IF(A34="","",SUMIFS(SALES!E:E,SALES!D:D,A34))</f>
        <v>35</v>
      </c>
      <c r="D34">
        <f t="shared" si="0"/>
        <v>15</v>
      </c>
    </row>
    <row r="35" spans="1:4" x14ac:dyDescent="0.2">
      <c r="A35" t="str">
        <f>IF(MASTER_PRODUCTS!B35="","",MASTER_PRODUCTS!B35)</f>
        <v>AVION MEDIUM LIDS 8389</v>
      </c>
      <c r="B35">
        <f>IF(A35="","",SUMIFS(PRODUCTION_REPORT!C:C,PRODUCTION_REPORT!B:B,A35))</f>
        <v>0</v>
      </c>
      <c r="C35">
        <f>IF(A35="","",SUMIFS(SALES!E:E,SALES!D:D,A35))</f>
        <v>0</v>
      </c>
      <c r="D35">
        <f t="shared" si="0"/>
        <v>0</v>
      </c>
    </row>
    <row r="36" spans="1:4" x14ac:dyDescent="0.2">
      <c r="A36" t="str">
        <f>IF(MASTER_PRODUCTS!B36="","",MASTER_PRODUCTS!B36)</f>
        <v>AVION SMALL LIDS 8342</v>
      </c>
      <c r="B36">
        <f>IF(A36="","",SUMIFS(PRODUCTION_REPORT!C:C,PRODUCTION_REPORT!B:B,A36))</f>
        <v>0</v>
      </c>
      <c r="C36">
        <f>IF(A36="","",SUMIFS(SALES!E:E,SALES!D:D,A36))</f>
        <v>0</v>
      </c>
      <c r="D36">
        <f t="shared" si="0"/>
        <v>0</v>
      </c>
    </row>
    <row r="37" spans="1:4" x14ac:dyDescent="0.2">
      <c r="A37" t="str">
        <f>IF(MASTER_PRODUCTS!B37="","",MASTER_PRODUCTS!B37)</f>
        <v>YOLO STRAW</v>
      </c>
      <c r="B37">
        <f>IF(A37="","",SUMIFS(PRODUCTION_REPORT!C:C,PRODUCTION_REPORT!B:B,A37))</f>
        <v>300</v>
      </c>
      <c r="C37">
        <f>IF(A37="","",SUMIFS(SALES!E:E,SALES!D:D,A37))</f>
        <v>100</v>
      </c>
      <c r="D37">
        <f t="shared" si="0"/>
        <v>200</v>
      </c>
    </row>
    <row r="38" spans="1:4" x14ac:dyDescent="0.2">
      <c r="A38" t="str">
        <f>IF(MASTER_PRODUCTS!B38="","",MASTER_PRODUCTS!B38)</f>
        <v>NON GOLDEN 25 MTR FOIL</v>
      </c>
      <c r="B38">
        <f>IF(A38="","",SUMIFS(PRODUCTION_REPORT!C:C,PRODUCTION_REPORT!B:B,A38))</f>
        <v>0</v>
      </c>
      <c r="C38">
        <f>IF(A38="","",SUMIFS(SALES!E:E,SALES!D:D,A38))</f>
        <v>0</v>
      </c>
      <c r="D38">
        <f t="shared" si="0"/>
        <v>0</v>
      </c>
    </row>
    <row r="39" spans="1:4" x14ac:dyDescent="0.2">
      <c r="A39" t="str">
        <f>IF(MASTER_PRODUCTS!B39="","",MASTER_PRODUCTS!B39)</f>
        <v/>
      </c>
      <c r="B39" t="str">
        <f>IF(A39="","",SUMIFS(PRODUCTION_REPORT!C:C,PRODUCTION_REPORT!B:B,A39))</f>
        <v/>
      </c>
      <c r="C39" t="str">
        <f>IF(A39="","",SUMIFS(SALES!E:E,SALES!D:D,A39))</f>
        <v/>
      </c>
      <c r="D39" t="str">
        <f t="shared" si="0"/>
        <v/>
      </c>
    </row>
    <row r="40" spans="1:4" x14ac:dyDescent="0.2">
      <c r="A40" t="str">
        <f>IF(MASTER_PRODUCTS!B40="","",MASTER_PRODUCTS!B40)</f>
        <v/>
      </c>
      <c r="B40" t="str">
        <f>IF(A40="","",SUMIFS(PRODUCTION_REPORT!C:C,PRODUCTION_REPORT!B:B,A40))</f>
        <v/>
      </c>
      <c r="C40" t="str">
        <f>IF(A40="","",SUMIFS(SALES!E:E,SALES!D:D,A40))</f>
        <v/>
      </c>
      <c r="D40" t="str">
        <f t="shared" si="0"/>
        <v/>
      </c>
    </row>
    <row r="41" spans="1:4" x14ac:dyDescent="0.2">
      <c r="A41" t="str">
        <f>IF(MASTER_PRODUCTS!B41="","",MASTER_PRODUCTS!B41)</f>
        <v/>
      </c>
      <c r="B41" t="str">
        <f>IF(A41="","",SUMIFS(PRODUCTION_REPORT!C:C,PRODUCTION_REPORT!B:B,A41))</f>
        <v/>
      </c>
      <c r="C41" t="str">
        <f>IF(A41="","",SUMIFS(SALES!E:E,SALES!D:D,A41))</f>
        <v/>
      </c>
      <c r="D41" t="str">
        <f t="shared" si="0"/>
        <v/>
      </c>
    </row>
    <row r="42" spans="1:4" x14ac:dyDescent="0.2">
      <c r="A42" t="str">
        <f>IF(MASTER_PRODUCTS!B42="","",MASTER_PRODUCTS!B42)</f>
        <v/>
      </c>
      <c r="B42" t="str">
        <f>IF(A42="","",SUMIFS(PRODUCTION_REPORT!C:C,PRODUCTION_REPORT!B:B,A42))</f>
        <v/>
      </c>
      <c r="C42" t="str">
        <f>IF(A42="","",SUMIFS(SALES!E:E,SALES!D:D,A42))</f>
        <v/>
      </c>
      <c r="D42" t="str">
        <f t="shared" si="0"/>
        <v/>
      </c>
    </row>
    <row r="43" spans="1:4" x14ac:dyDescent="0.2">
      <c r="A43" t="str">
        <f>IF(MASTER_PRODUCTS!B43="","",MASTER_PRODUCTS!B43)</f>
        <v/>
      </c>
      <c r="B43" t="str">
        <f>IF(A43="","",SUMIFS(PRODUCTION_REPORT!C:C,PRODUCTION_REPORT!B:B,A43))</f>
        <v/>
      </c>
      <c r="C43" t="str">
        <f>IF(A43="","",SUMIFS(SALES!E:E,SALES!D:D,A43))</f>
        <v/>
      </c>
      <c r="D43" t="str">
        <f t="shared" si="0"/>
        <v/>
      </c>
    </row>
    <row r="44" spans="1:4" x14ac:dyDescent="0.2">
      <c r="A44" t="str">
        <f>IF(MASTER_PRODUCTS!B44="","",MASTER_PRODUCTS!B44)</f>
        <v/>
      </c>
      <c r="B44" t="str">
        <f>IF(A44="","",SUMIFS(PRODUCTION_REPORT!C:C,PRODUCTION_REPORT!B:B,A44))</f>
        <v/>
      </c>
      <c r="C44" t="str">
        <f>IF(A44="","",SUMIFS(SALES!E:E,SALES!D:D,A44))</f>
        <v/>
      </c>
      <c r="D44" t="str">
        <f t="shared" si="0"/>
        <v/>
      </c>
    </row>
    <row r="45" spans="1:4" x14ac:dyDescent="0.2">
      <c r="A45" t="str">
        <f>IF(MASTER_PRODUCTS!B45="","",MASTER_PRODUCTS!B45)</f>
        <v/>
      </c>
      <c r="B45" t="str">
        <f>IF(A45="","",SUMIFS(PRODUCTION_REPORT!C:C,PRODUCTION_REPORT!B:B,A45))</f>
        <v/>
      </c>
      <c r="C45" t="str">
        <f>IF(A45="","",SUMIFS(SALES!E:E,SALES!D:D,A45))</f>
        <v/>
      </c>
      <c r="D45" t="str">
        <f t="shared" si="0"/>
        <v/>
      </c>
    </row>
    <row r="46" spans="1:4" x14ac:dyDescent="0.2">
      <c r="A46" t="str">
        <f>IF(MASTER_PRODUCTS!B46="","",MASTER_PRODUCTS!B46)</f>
        <v/>
      </c>
      <c r="B46" t="str">
        <f>IF(A46="","",SUMIFS(PRODUCTION_REPORT!C:C,PRODUCTION_REPORT!B:B,A46))</f>
        <v/>
      </c>
      <c r="C46" t="str">
        <f>IF(A46="","",SUMIFS(SALES!E:E,SALES!D:D,A46))</f>
        <v/>
      </c>
      <c r="D46" t="str">
        <f t="shared" si="0"/>
        <v/>
      </c>
    </row>
    <row r="47" spans="1:4" x14ac:dyDescent="0.2">
      <c r="A47" t="str">
        <f>IF(MASTER_PRODUCTS!B47="","",MASTER_PRODUCTS!B47)</f>
        <v/>
      </c>
      <c r="B47" t="str">
        <f>IF(A47="","",SUMIFS(PRODUCTION_REPORT!C:C,PRODUCTION_REPORT!B:B,A47))</f>
        <v/>
      </c>
      <c r="C47" t="str">
        <f>IF(A47="","",SUMIFS(SALES!E:E,SALES!D:D,A47))</f>
        <v/>
      </c>
      <c r="D47" t="str">
        <f t="shared" si="0"/>
        <v/>
      </c>
    </row>
    <row r="48" spans="1:4" x14ac:dyDescent="0.2">
      <c r="A48" t="str">
        <f>IF(MASTER_PRODUCTS!B48="","",MASTER_PRODUCTS!B48)</f>
        <v/>
      </c>
      <c r="B48" t="str">
        <f>IF(A48="","",SUMIFS(PRODUCTION_REPORT!C:C,PRODUCTION_REPORT!B:B,A48))</f>
        <v/>
      </c>
      <c r="C48" t="str">
        <f>IF(A48="","",SUMIFS(SALES!E:E,SALES!D:D,A48))</f>
        <v/>
      </c>
      <c r="D48" t="str">
        <f t="shared" si="0"/>
        <v/>
      </c>
    </row>
    <row r="49" spans="1:4" x14ac:dyDescent="0.2">
      <c r="A49" t="str">
        <f>IF(MASTER_PRODUCTS!B49="","",MASTER_PRODUCTS!B49)</f>
        <v/>
      </c>
      <c r="B49" t="str">
        <f>IF(A49="","",SUMIFS(PRODUCTION_REPORT!C:C,PRODUCTION_REPORT!B:B,A49))</f>
        <v/>
      </c>
      <c r="C49" t="str">
        <f>IF(A49="","",SUMIFS(SALES!E:E,SALES!D:D,A49))</f>
        <v/>
      </c>
      <c r="D49" t="str">
        <f t="shared" si="0"/>
        <v/>
      </c>
    </row>
    <row r="50" spans="1:4" x14ac:dyDescent="0.2">
      <c r="A50" t="str">
        <f>IF(MASTER_PRODUCTS!B50="","",MASTER_PRODUCTS!B50)</f>
        <v/>
      </c>
      <c r="B50" t="str">
        <f>IF(A50="","",SUMIFS(PRODUCTION_REPORT!C:C,PRODUCTION_REPORT!B:B,A50))</f>
        <v/>
      </c>
      <c r="C50" t="str">
        <f>IF(A50="","",SUMIFS(SALES!E:E,SALES!D:D,A50))</f>
        <v/>
      </c>
      <c r="D50" t="str">
        <f t="shared" si="0"/>
        <v/>
      </c>
    </row>
    <row r="51" spans="1:4" x14ac:dyDescent="0.2">
      <c r="A51" t="str">
        <f>IF(MASTER_PRODUCTS!B51="","",MASTER_PRODUCTS!B51)</f>
        <v/>
      </c>
      <c r="B51" t="str">
        <f>IF(A51="","",SUMIFS(PRODUCTION_REPORT!C:C,PRODUCTION_REPORT!B:B,A51))</f>
        <v/>
      </c>
      <c r="C51" t="str">
        <f>IF(A51="","",SUMIFS(SALES!E:E,SALES!D:D,A51))</f>
        <v/>
      </c>
      <c r="D51" t="str">
        <f t="shared" si="0"/>
        <v/>
      </c>
    </row>
    <row r="52" spans="1:4" x14ac:dyDescent="0.2">
      <c r="A52" t="str">
        <f>IF(MASTER_PRODUCTS!B52="","",MASTER_PRODUCTS!B52)</f>
        <v/>
      </c>
      <c r="B52" t="str">
        <f>IF(A52="","",SUMIFS(PRODUCTION_REPORT!C:C,PRODUCTION_REPORT!B:B,A52))</f>
        <v/>
      </c>
      <c r="C52" t="str">
        <f>IF(A52="","",SUMIFS(SALES!E:E,SALES!D:D,A52))</f>
        <v/>
      </c>
      <c r="D52" t="str">
        <f t="shared" si="0"/>
        <v/>
      </c>
    </row>
    <row r="53" spans="1:4" x14ac:dyDescent="0.2">
      <c r="A53" t="str">
        <f>IF(MASTER_PRODUCTS!B53="","",MASTER_PRODUCTS!B53)</f>
        <v/>
      </c>
      <c r="B53" t="str">
        <f>IF(A53="","",SUMIFS(PRODUCTION_REPORT!C:C,PRODUCTION_REPORT!B:B,A53))</f>
        <v/>
      </c>
      <c r="C53" t="str">
        <f>IF(A53="","",SUMIFS(SALES!E:E,SALES!D:D,A53))</f>
        <v/>
      </c>
      <c r="D53" t="str">
        <f t="shared" si="0"/>
        <v/>
      </c>
    </row>
    <row r="54" spans="1:4" x14ac:dyDescent="0.2">
      <c r="A54" t="str">
        <f>IF(MASTER_PRODUCTS!B54="","",MASTER_PRODUCTS!B54)</f>
        <v/>
      </c>
      <c r="B54" t="str">
        <f>IF(A54="","",SUMIFS(PRODUCTION_REPORT!C:C,PRODUCTION_REPORT!B:B,A54))</f>
        <v/>
      </c>
      <c r="C54" t="str">
        <f>IF(A54="","",SUMIFS(SALES!E:E,SALES!D:D,A54))</f>
        <v/>
      </c>
      <c r="D54" t="str">
        <f t="shared" si="0"/>
        <v/>
      </c>
    </row>
    <row r="55" spans="1:4" x14ac:dyDescent="0.2">
      <c r="A55" t="str">
        <f>IF(MASTER_PRODUCTS!B55="","",MASTER_PRODUCTS!B55)</f>
        <v/>
      </c>
      <c r="B55" t="str">
        <f>IF(A55="","",SUMIFS(PRODUCTION_REPORT!C:C,PRODUCTION_REPORT!B:B,A55))</f>
        <v/>
      </c>
      <c r="C55" t="str">
        <f>IF(A55="","",SUMIFS(SALES!E:E,SALES!D:D,A55))</f>
        <v/>
      </c>
      <c r="D55" t="str">
        <f t="shared" si="0"/>
        <v/>
      </c>
    </row>
    <row r="56" spans="1:4" x14ac:dyDescent="0.2">
      <c r="A56" t="str">
        <f>IF(MASTER_PRODUCTS!B56="","",MASTER_PRODUCTS!B56)</f>
        <v/>
      </c>
      <c r="B56" t="str">
        <f>IF(A56="","",SUMIFS(PRODUCTION_REPORT!C:C,PRODUCTION_REPORT!B:B,A56))</f>
        <v/>
      </c>
      <c r="C56" t="str">
        <f>IF(A56="","",SUMIFS(SALES!E:E,SALES!D:D,A56))</f>
        <v/>
      </c>
      <c r="D56" t="str">
        <f t="shared" si="0"/>
        <v/>
      </c>
    </row>
    <row r="57" spans="1:4" x14ac:dyDescent="0.2">
      <c r="A57" t="str">
        <f>IF(MASTER_PRODUCTS!B57="","",MASTER_PRODUCTS!B57)</f>
        <v/>
      </c>
      <c r="B57" t="str">
        <f>IF(A57="","",SUMIFS(PRODUCTION_REPORT!C:C,PRODUCTION_REPORT!B:B,A57))</f>
        <v/>
      </c>
      <c r="C57" t="str">
        <f>IF(A57="","",SUMIFS(SALES!E:E,SALES!D:D,A57))</f>
        <v/>
      </c>
      <c r="D57" t="str">
        <f t="shared" si="0"/>
        <v/>
      </c>
    </row>
    <row r="58" spans="1:4" x14ac:dyDescent="0.2">
      <c r="A58" t="str">
        <f>IF(MASTER_PRODUCTS!B58="","",MASTER_PRODUCTS!B58)</f>
        <v/>
      </c>
      <c r="B58" t="str">
        <f>IF(A58="","",SUMIFS(PRODUCTION_REPORT!C:C,PRODUCTION_REPORT!B:B,A58))</f>
        <v/>
      </c>
      <c r="C58" t="str">
        <f>IF(A58="","",SUMIFS(SALES!E:E,SALES!D:D,A58))</f>
        <v/>
      </c>
      <c r="D58" t="str">
        <f t="shared" si="0"/>
        <v/>
      </c>
    </row>
    <row r="59" spans="1:4" x14ac:dyDescent="0.2">
      <c r="A59" t="str">
        <f>IF(MASTER_PRODUCTS!B59="","",MASTER_PRODUCTS!B59)</f>
        <v/>
      </c>
      <c r="B59" t="str">
        <f>IF(A59="","",SUMIFS(PRODUCTION_REPORT!C:C,PRODUCTION_REPORT!B:B,A59))</f>
        <v/>
      </c>
      <c r="C59" t="str">
        <f>IF(A59="","",SUMIFS(SALES!E:E,SALES!D:D,A59))</f>
        <v/>
      </c>
      <c r="D59" t="str">
        <f t="shared" si="0"/>
        <v/>
      </c>
    </row>
    <row r="60" spans="1:4" x14ac:dyDescent="0.2">
      <c r="A60" t="str">
        <f>IF(MASTER_PRODUCTS!B60="","",MASTER_PRODUCTS!B60)</f>
        <v/>
      </c>
      <c r="B60" t="str">
        <f>IF(A60="","",SUMIFS(PRODUCTION_REPORT!C:C,PRODUCTION_REPORT!B:B,A60))</f>
        <v/>
      </c>
      <c r="C60" t="str">
        <f>IF(A60="","",SUMIFS(SALES!E:E,SALES!D:D,A60))</f>
        <v/>
      </c>
      <c r="D60" t="str">
        <f t="shared" si="0"/>
        <v/>
      </c>
    </row>
    <row r="61" spans="1:4" x14ac:dyDescent="0.2">
      <c r="A61" t="str">
        <f>IF(MASTER_PRODUCTS!B61="","",MASTER_PRODUCTS!B61)</f>
        <v/>
      </c>
      <c r="B61" t="str">
        <f>IF(A61="","",SUMIFS(PRODUCTION_REPORT!C:C,PRODUCTION_REPORT!B:B,A61))</f>
        <v/>
      </c>
      <c r="C61" t="str">
        <f>IF(A61="","",SUMIFS(SALES!E:E,SALES!D:D,A61))</f>
        <v/>
      </c>
      <c r="D61" t="str">
        <f t="shared" si="0"/>
        <v/>
      </c>
    </row>
    <row r="62" spans="1:4" x14ac:dyDescent="0.2">
      <c r="A62" t="str">
        <f>IF(MASTER_PRODUCTS!B62="","",MASTER_PRODUCTS!B62)</f>
        <v/>
      </c>
      <c r="B62" t="str">
        <f>IF(A62="","",SUMIFS(PRODUCTION_REPORT!C:C,PRODUCTION_REPORT!B:B,A62))</f>
        <v/>
      </c>
      <c r="C62" t="str">
        <f>IF(A62="","",SUMIFS(SALES!E:E,SALES!D:D,A62))</f>
        <v/>
      </c>
      <c r="D62" t="str">
        <f t="shared" si="0"/>
        <v/>
      </c>
    </row>
    <row r="63" spans="1:4" x14ac:dyDescent="0.2">
      <c r="A63" t="str">
        <f>IF(MASTER_PRODUCTS!B63="","",MASTER_PRODUCTS!B63)</f>
        <v/>
      </c>
      <c r="B63" t="str">
        <f>IF(A63="","",SUMIFS(PRODUCTION_REPORT!C:C,PRODUCTION_REPORT!B:B,A63))</f>
        <v/>
      </c>
      <c r="C63" t="str">
        <f>IF(A63="","",SUMIFS(SALES!E:E,SALES!D:D,A63))</f>
        <v/>
      </c>
      <c r="D63" t="str">
        <f t="shared" si="0"/>
        <v/>
      </c>
    </row>
    <row r="64" spans="1:4" x14ac:dyDescent="0.2">
      <c r="A64" t="str">
        <f>IF(MASTER_PRODUCTS!B64="","",MASTER_PRODUCTS!B64)</f>
        <v/>
      </c>
      <c r="B64" t="str">
        <f>IF(A64="","",SUMIFS(PRODUCTION_REPORT!C:C,PRODUCTION_REPORT!B:B,A64))</f>
        <v/>
      </c>
      <c r="C64" t="str">
        <f>IF(A64="","",SUMIFS(SALES!E:E,SALES!D:D,A64))</f>
        <v/>
      </c>
      <c r="D64" t="str">
        <f t="shared" si="0"/>
        <v/>
      </c>
    </row>
    <row r="65" spans="1:4" x14ac:dyDescent="0.2">
      <c r="A65" t="str">
        <f>IF(MASTER_PRODUCTS!B65="","",MASTER_PRODUCTS!B65)</f>
        <v/>
      </c>
      <c r="B65" t="str">
        <f>IF(A65="","",SUMIFS(PRODUCTION_REPORT!C:C,PRODUCTION_REPORT!B:B,A65))</f>
        <v/>
      </c>
      <c r="C65" t="str">
        <f>IF(A65="","",SUMIFS(SALES!E:E,SALES!D:D,A65))</f>
        <v/>
      </c>
      <c r="D65" t="str">
        <f t="shared" si="0"/>
        <v/>
      </c>
    </row>
    <row r="66" spans="1:4" x14ac:dyDescent="0.2">
      <c r="A66" t="str">
        <f>IF(MASTER_PRODUCTS!B66="","",MASTER_PRODUCTS!B66)</f>
        <v/>
      </c>
      <c r="B66" t="str">
        <f>IF(A66="","",SUMIFS(PRODUCTION_REPORT!C:C,PRODUCTION_REPORT!B:B,A66))</f>
        <v/>
      </c>
      <c r="C66" t="str">
        <f>IF(A66="","",SUMIFS(SALES!E:E,SALES!D:D,A66))</f>
        <v/>
      </c>
      <c r="D66" t="str">
        <f t="shared" ref="D66:D129" si="1">IF(A66="","",B66-C66)</f>
        <v/>
      </c>
    </row>
    <row r="67" spans="1:4" x14ac:dyDescent="0.2">
      <c r="A67" t="str">
        <f>IF(MASTER_PRODUCTS!B67="","",MASTER_PRODUCTS!B67)</f>
        <v/>
      </c>
      <c r="B67" t="str">
        <f>IF(A67="","",SUMIFS(PRODUCTION_REPORT!C:C,PRODUCTION_REPORT!B:B,A67))</f>
        <v/>
      </c>
      <c r="C67" t="str">
        <f>IF(A67="","",SUMIFS(SALES!E:E,SALES!D:D,A67))</f>
        <v/>
      </c>
      <c r="D67" t="str">
        <f t="shared" si="1"/>
        <v/>
      </c>
    </row>
    <row r="68" spans="1:4" x14ac:dyDescent="0.2">
      <c r="A68" t="str">
        <f>IF(MASTER_PRODUCTS!B68="","",MASTER_PRODUCTS!B68)</f>
        <v/>
      </c>
      <c r="B68" t="str">
        <f>IF(A68="","",SUMIFS(PRODUCTION_REPORT!C:C,PRODUCTION_REPORT!B:B,A68))</f>
        <v/>
      </c>
      <c r="C68" t="str">
        <f>IF(A68="","",SUMIFS(SALES!E:E,SALES!D:D,A68))</f>
        <v/>
      </c>
      <c r="D68" t="str">
        <f t="shared" si="1"/>
        <v/>
      </c>
    </row>
    <row r="69" spans="1:4" x14ac:dyDescent="0.2">
      <c r="A69" t="str">
        <f>IF(MASTER_PRODUCTS!B69="","",MASTER_PRODUCTS!B69)</f>
        <v/>
      </c>
      <c r="B69" t="str">
        <f>IF(A69="","",SUMIFS(PRODUCTION_REPORT!C:C,PRODUCTION_REPORT!B:B,A69))</f>
        <v/>
      </c>
      <c r="C69" t="str">
        <f>IF(A69="","",SUMIFS(SALES!E:E,SALES!D:D,A69))</f>
        <v/>
      </c>
      <c r="D69" t="str">
        <f t="shared" si="1"/>
        <v/>
      </c>
    </row>
    <row r="70" spans="1:4" x14ac:dyDescent="0.2">
      <c r="A70" t="str">
        <f>IF(MASTER_PRODUCTS!B70="","",MASTER_PRODUCTS!B70)</f>
        <v/>
      </c>
      <c r="B70" t="str">
        <f>IF(A70="","",SUMIFS(PRODUCTION_REPORT!C:C,PRODUCTION_REPORT!B:B,A70))</f>
        <v/>
      </c>
      <c r="C70" t="str">
        <f>IF(A70="","",SUMIFS(SALES!E:E,SALES!D:D,A70))</f>
        <v/>
      </c>
      <c r="D70" t="str">
        <f t="shared" si="1"/>
        <v/>
      </c>
    </row>
    <row r="71" spans="1:4" x14ac:dyDescent="0.2">
      <c r="A71" t="str">
        <f>IF(MASTER_PRODUCTS!B71="","",MASTER_PRODUCTS!B71)</f>
        <v/>
      </c>
      <c r="B71" t="str">
        <f>IF(A71="","",SUMIFS(PRODUCTION_REPORT!C:C,PRODUCTION_REPORT!B:B,A71))</f>
        <v/>
      </c>
      <c r="C71" t="str">
        <f>IF(A71="","",SUMIFS(SALES!E:E,SALES!D:D,A71))</f>
        <v/>
      </c>
      <c r="D71" t="str">
        <f t="shared" si="1"/>
        <v/>
      </c>
    </row>
    <row r="72" spans="1:4" x14ac:dyDescent="0.2">
      <c r="A72" t="str">
        <f>IF(MASTER_PRODUCTS!B72="","",MASTER_PRODUCTS!B72)</f>
        <v/>
      </c>
      <c r="B72" t="str">
        <f>IF(A72="","",SUMIFS(PRODUCTION_REPORT!C:C,PRODUCTION_REPORT!B:B,A72))</f>
        <v/>
      </c>
      <c r="C72" t="str">
        <f>IF(A72="","",SUMIFS(SALES!E:E,SALES!D:D,A72))</f>
        <v/>
      </c>
      <c r="D72" t="str">
        <f t="shared" si="1"/>
        <v/>
      </c>
    </row>
    <row r="73" spans="1:4" x14ac:dyDescent="0.2">
      <c r="A73" t="str">
        <f>IF(MASTER_PRODUCTS!B73="","",MASTER_PRODUCTS!B73)</f>
        <v/>
      </c>
      <c r="B73" t="str">
        <f>IF(A73="","",SUMIFS(PRODUCTION_REPORT!C:C,PRODUCTION_REPORT!B:B,A73))</f>
        <v/>
      </c>
      <c r="C73" t="str">
        <f>IF(A73="","",SUMIFS(SALES!E:E,SALES!D:D,A73))</f>
        <v/>
      </c>
      <c r="D73" t="str">
        <f t="shared" si="1"/>
        <v/>
      </c>
    </row>
    <row r="74" spans="1:4" x14ac:dyDescent="0.2">
      <c r="A74" t="str">
        <f>IF(MASTER_PRODUCTS!B74="","",MASTER_PRODUCTS!B74)</f>
        <v/>
      </c>
      <c r="B74" t="str">
        <f>IF(A74="","",SUMIFS(PRODUCTION_REPORT!C:C,PRODUCTION_REPORT!B:B,A74))</f>
        <v/>
      </c>
      <c r="C74" t="str">
        <f>IF(A74="","",SUMIFS(SALES!E:E,SALES!D:D,A74))</f>
        <v/>
      </c>
      <c r="D74" t="str">
        <f t="shared" si="1"/>
        <v/>
      </c>
    </row>
    <row r="75" spans="1:4" x14ac:dyDescent="0.2">
      <c r="A75" t="str">
        <f>IF(MASTER_PRODUCTS!B75="","",MASTER_PRODUCTS!B75)</f>
        <v/>
      </c>
      <c r="B75" t="str">
        <f>IF(A75="","",SUMIFS(PRODUCTION_REPORT!C:C,PRODUCTION_REPORT!B:B,A75))</f>
        <v/>
      </c>
      <c r="C75" t="str">
        <f>IF(A75="","",SUMIFS(SALES!E:E,SALES!D:D,A75))</f>
        <v/>
      </c>
      <c r="D75" t="str">
        <f t="shared" si="1"/>
        <v/>
      </c>
    </row>
    <row r="76" spans="1:4" x14ac:dyDescent="0.2">
      <c r="A76" t="str">
        <f>IF(MASTER_PRODUCTS!B76="","",MASTER_PRODUCTS!B76)</f>
        <v/>
      </c>
      <c r="B76" t="str">
        <f>IF(A76="","",SUMIFS(PRODUCTION_REPORT!C:C,PRODUCTION_REPORT!B:B,A76))</f>
        <v/>
      </c>
      <c r="C76" t="str">
        <f>IF(A76="","",SUMIFS(SALES!E:E,SALES!D:D,A76))</f>
        <v/>
      </c>
      <c r="D76" t="str">
        <f t="shared" si="1"/>
        <v/>
      </c>
    </row>
    <row r="77" spans="1:4" x14ac:dyDescent="0.2">
      <c r="A77" t="str">
        <f>IF(MASTER_PRODUCTS!B77="","",MASTER_PRODUCTS!B77)</f>
        <v/>
      </c>
      <c r="B77" t="str">
        <f>IF(A77="","",SUMIFS(PRODUCTION_REPORT!C:C,PRODUCTION_REPORT!B:B,A77))</f>
        <v/>
      </c>
      <c r="C77" t="str">
        <f>IF(A77="","",SUMIFS(SALES!E:E,SALES!D:D,A77))</f>
        <v/>
      </c>
      <c r="D77" t="str">
        <f t="shared" si="1"/>
        <v/>
      </c>
    </row>
    <row r="78" spans="1:4" x14ac:dyDescent="0.2">
      <c r="A78" t="str">
        <f>IF(MASTER_PRODUCTS!B78="","",MASTER_PRODUCTS!B78)</f>
        <v/>
      </c>
      <c r="B78" t="str">
        <f>IF(A78="","",SUMIFS(PRODUCTION_REPORT!C:C,PRODUCTION_REPORT!B:B,A78))</f>
        <v/>
      </c>
      <c r="C78" t="str">
        <f>IF(A78="","",SUMIFS(SALES!E:E,SALES!D:D,A78))</f>
        <v/>
      </c>
      <c r="D78" t="str">
        <f t="shared" si="1"/>
        <v/>
      </c>
    </row>
    <row r="79" spans="1:4" x14ac:dyDescent="0.2">
      <c r="A79" t="str">
        <f>IF(MASTER_PRODUCTS!B79="","",MASTER_PRODUCTS!B79)</f>
        <v/>
      </c>
      <c r="B79" t="str">
        <f>IF(A79="","",SUMIFS(PRODUCTION_REPORT!C:C,PRODUCTION_REPORT!B:B,A79))</f>
        <v/>
      </c>
      <c r="C79" t="str">
        <f>IF(A79="","",SUMIFS(SALES!E:E,SALES!D:D,A79))</f>
        <v/>
      </c>
      <c r="D79" t="str">
        <f t="shared" si="1"/>
        <v/>
      </c>
    </row>
    <row r="80" spans="1:4" x14ac:dyDescent="0.2">
      <c r="A80" t="str">
        <f>IF(MASTER_PRODUCTS!B80="","",MASTER_PRODUCTS!B80)</f>
        <v/>
      </c>
      <c r="B80" t="str">
        <f>IF(A80="","",SUMIFS(PRODUCTION_REPORT!C:C,PRODUCTION_REPORT!B:B,A80))</f>
        <v/>
      </c>
      <c r="C80" t="str">
        <f>IF(A80="","",SUMIFS(SALES!E:E,SALES!D:D,A80))</f>
        <v/>
      </c>
      <c r="D80" t="str">
        <f t="shared" si="1"/>
        <v/>
      </c>
    </row>
    <row r="81" spans="1:4" x14ac:dyDescent="0.2">
      <c r="A81" t="str">
        <f>IF(MASTER_PRODUCTS!B81="","",MASTER_PRODUCTS!B81)</f>
        <v/>
      </c>
      <c r="B81" t="str">
        <f>IF(A81="","",SUMIFS(PRODUCTION_REPORT!C:C,PRODUCTION_REPORT!B:B,A81))</f>
        <v/>
      </c>
      <c r="C81" t="str">
        <f>IF(A81="","",SUMIFS(SALES!E:E,SALES!D:D,A81))</f>
        <v/>
      </c>
      <c r="D81" t="str">
        <f t="shared" si="1"/>
        <v/>
      </c>
    </row>
    <row r="82" spans="1:4" x14ac:dyDescent="0.2">
      <c r="A82" t="str">
        <f>IF(MASTER_PRODUCTS!B82="","",MASTER_PRODUCTS!B82)</f>
        <v/>
      </c>
      <c r="B82" t="str">
        <f>IF(A82="","",SUMIFS(PRODUCTION_REPORT!C:C,PRODUCTION_REPORT!B:B,A82))</f>
        <v/>
      </c>
      <c r="C82" t="str">
        <f>IF(A82="","",SUMIFS(SALES!E:E,SALES!D:D,A82))</f>
        <v/>
      </c>
      <c r="D82" t="str">
        <f t="shared" si="1"/>
        <v/>
      </c>
    </row>
    <row r="83" spans="1:4" x14ac:dyDescent="0.2">
      <c r="A83" t="str">
        <f>IF(MASTER_PRODUCTS!B83="","",MASTER_PRODUCTS!B83)</f>
        <v/>
      </c>
      <c r="B83" t="str">
        <f>IF(A83="","",SUMIFS(PRODUCTION_REPORT!C:C,PRODUCTION_REPORT!B:B,A83))</f>
        <v/>
      </c>
      <c r="C83" t="str">
        <f>IF(A83="","",SUMIFS(SALES!E:E,SALES!D:D,A83))</f>
        <v/>
      </c>
      <c r="D83" t="str">
        <f t="shared" si="1"/>
        <v/>
      </c>
    </row>
    <row r="84" spans="1:4" x14ac:dyDescent="0.2">
      <c r="A84" t="str">
        <f>IF(MASTER_PRODUCTS!B84="","",MASTER_PRODUCTS!B84)</f>
        <v/>
      </c>
      <c r="B84" t="str">
        <f>IF(A84="","",SUMIFS(PRODUCTION_REPORT!C:C,PRODUCTION_REPORT!B:B,A84))</f>
        <v/>
      </c>
      <c r="C84" t="str">
        <f>IF(A84="","",SUMIFS(SALES!E:E,SALES!D:D,A84))</f>
        <v/>
      </c>
      <c r="D84" t="str">
        <f t="shared" si="1"/>
        <v/>
      </c>
    </row>
    <row r="85" spans="1:4" x14ac:dyDescent="0.2">
      <c r="A85" t="str">
        <f>IF(MASTER_PRODUCTS!B85="","",MASTER_PRODUCTS!B85)</f>
        <v/>
      </c>
      <c r="B85" t="str">
        <f>IF(A85="","",SUMIFS(PRODUCTION_REPORT!C:C,PRODUCTION_REPORT!B:B,A85))</f>
        <v/>
      </c>
      <c r="C85" t="str">
        <f>IF(A85="","",SUMIFS(SALES!E:E,SALES!D:D,A85))</f>
        <v/>
      </c>
      <c r="D85" t="str">
        <f t="shared" si="1"/>
        <v/>
      </c>
    </row>
    <row r="86" spans="1:4" x14ac:dyDescent="0.2">
      <c r="A86" t="str">
        <f>IF(MASTER_PRODUCTS!B86="","",MASTER_PRODUCTS!B86)</f>
        <v/>
      </c>
      <c r="B86" t="str">
        <f>IF(A86="","",SUMIFS(PRODUCTION_REPORT!C:C,PRODUCTION_REPORT!B:B,A86))</f>
        <v/>
      </c>
      <c r="C86" t="str">
        <f>IF(A86="","",SUMIFS(SALES!E:E,SALES!D:D,A86))</f>
        <v/>
      </c>
      <c r="D86" t="str">
        <f t="shared" si="1"/>
        <v/>
      </c>
    </row>
    <row r="87" spans="1:4" x14ac:dyDescent="0.2">
      <c r="A87" t="str">
        <f>IF(MASTER_PRODUCTS!B87="","",MASTER_PRODUCTS!B87)</f>
        <v/>
      </c>
      <c r="B87" t="str">
        <f>IF(A87="","",SUMIFS(PRODUCTION_REPORT!C:C,PRODUCTION_REPORT!B:B,A87))</f>
        <v/>
      </c>
      <c r="C87" t="str">
        <f>IF(A87="","",SUMIFS(SALES!E:E,SALES!D:D,A87))</f>
        <v/>
      </c>
      <c r="D87" t="str">
        <f t="shared" si="1"/>
        <v/>
      </c>
    </row>
    <row r="88" spans="1:4" x14ac:dyDescent="0.2">
      <c r="A88" t="str">
        <f>IF(MASTER_PRODUCTS!B88="","",MASTER_PRODUCTS!B88)</f>
        <v/>
      </c>
      <c r="B88" t="str">
        <f>IF(A88="","",SUMIFS(PRODUCTION_REPORT!C:C,PRODUCTION_REPORT!B:B,A88))</f>
        <v/>
      </c>
      <c r="C88" t="str">
        <f>IF(A88="","",SUMIFS(SALES!E:E,SALES!D:D,A88))</f>
        <v/>
      </c>
      <c r="D88" t="str">
        <f t="shared" si="1"/>
        <v/>
      </c>
    </row>
    <row r="89" spans="1:4" x14ac:dyDescent="0.2">
      <c r="A89" t="str">
        <f>IF(MASTER_PRODUCTS!B89="","",MASTER_PRODUCTS!B89)</f>
        <v/>
      </c>
      <c r="B89" t="str">
        <f>IF(A89="","",SUMIFS(PRODUCTION_REPORT!C:C,PRODUCTION_REPORT!B:B,A89))</f>
        <v/>
      </c>
      <c r="C89" t="str">
        <f>IF(A89="","",SUMIFS(SALES!E:E,SALES!D:D,A89))</f>
        <v/>
      </c>
      <c r="D89" t="str">
        <f t="shared" si="1"/>
        <v/>
      </c>
    </row>
    <row r="90" spans="1:4" x14ac:dyDescent="0.2">
      <c r="A90" t="str">
        <f>IF(MASTER_PRODUCTS!B90="","",MASTER_PRODUCTS!B90)</f>
        <v/>
      </c>
      <c r="B90" t="str">
        <f>IF(A90="","",SUMIFS(PRODUCTION_REPORT!C:C,PRODUCTION_REPORT!B:B,A90))</f>
        <v/>
      </c>
      <c r="C90" t="str">
        <f>IF(A90="","",SUMIFS(SALES!E:E,SALES!D:D,A90))</f>
        <v/>
      </c>
      <c r="D90" t="str">
        <f t="shared" si="1"/>
        <v/>
      </c>
    </row>
    <row r="91" spans="1:4" x14ac:dyDescent="0.2">
      <c r="A91" t="str">
        <f>IF(MASTER_PRODUCTS!B91="","",MASTER_PRODUCTS!B91)</f>
        <v/>
      </c>
      <c r="B91" t="str">
        <f>IF(A91="","",SUMIFS(PRODUCTION_REPORT!C:C,PRODUCTION_REPORT!B:B,A91))</f>
        <v/>
      </c>
      <c r="C91" t="str">
        <f>IF(A91="","",SUMIFS(SALES!E:E,SALES!D:D,A91))</f>
        <v/>
      </c>
      <c r="D91" t="str">
        <f t="shared" si="1"/>
        <v/>
      </c>
    </row>
    <row r="92" spans="1:4" x14ac:dyDescent="0.2">
      <c r="A92" t="str">
        <f>IF(MASTER_PRODUCTS!B92="","",MASTER_PRODUCTS!B92)</f>
        <v/>
      </c>
      <c r="B92" t="str">
        <f>IF(A92="","",SUMIFS(PRODUCTION_REPORT!C:C,PRODUCTION_REPORT!B:B,A92))</f>
        <v/>
      </c>
      <c r="C92" t="str">
        <f>IF(A92="","",SUMIFS(SALES!E:E,SALES!D:D,A92))</f>
        <v/>
      </c>
      <c r="D92" t="str">
        <f t="shared" si="1"/>
        <v/>
      </c>
    </row>
    <row r="93" spans="1:4" x14ac:dyDescent="0.2">
      <c r="A93" t="str">
        <f>IF(MASTER_PRODUCTS!B93="","",MASTER_PRODUCTS!B93)</f>
        <v/>
      </c>
      <c r="B93" t="str">
        <f>IF(A93="","",SUMIFS(PRODUCTION_REPORT!C:C,PRODUCTION_REPORT!B:B,A93))</f>
        <v/>
      </c>
      <c r="C93" t="str">
        <f>IF(A93="","",SUMIFS(SALES!E:E,SALES!D:D,A93))</f>
        <v/>
      </c>
      <c r="D93" t="str">
        <f t="shared" si="1"/>
        <v/>
      </c>
    </row>
    <row r="94" spans="1:4" x14ac:dyDescent="0.2">
      <c r="A94" t="str">
        <f>IF(MASTER_PRODUCTS!B94="","",MASTER_PRODUCTS!B94)</f>
        <v/>
      </c>
      <c r="B94" t="str">
        <f>IF(A94="","",SUMIFS(PRODUCTION_REPORT!C:C,PRODUCTION_REPORT!B:B,A94))</f>
        <v/>
      </c>
      <c r="C94" t="str">
        <f>IF(A94="","",SUMIFS(SALES!E:E,SALES!D:D,A94))</f>
        <v/>
      </c>
      <c r="D94" t="str">
        <f t="shared" si="1"/>
        <v/>
      </c>
    </row>
    <row r="95" spans="1:4" x14ac:dyDescent="0.2">
      <c r="A95" t="str">
        <f>IF(MASTER_PRODUCTS!B95="","",MASTER_PRODUCTS!B95)</f>
        <v/>
      </c>
      <c r="B95" t="str">
        <f>IF(A95="","",SUMIFS(PRODUCTION_REPORT!C:C,PRODUCTION_REPORT!B:B,A95))</f>
        <v/>
      </c>
      <c r="C95" t="str">
        <f>IF(A95="","",SUMIFS(SALES!E:E,SALES!D:D,A95))</f>
        <v/>
      </c>
      <c r="D95" t="str">
        <f t="shared" si="1"/>
        <v/>
      </c>
    </row>
    <row r="96" spans="1:4" x14ac:dyDescent="0.2">
      <c r="A96" t="str">
        <f>IF(MASTER_PRODUCTS!B96="","",MASTER_PRODUCTS!B96)</f>
        <v/>
      </c>
      <c r="B96" t="str">
        <f>IF(A96="","",SUMIFS(PRODUCTION_REPORT!C:C,PRODUCTION_REPORT!B:B,A96))</f>
        <v/>
      </c>
      <c r="C96" t="str">
        <f>IF(A96="","",SUMIFS(SALES!E:E,SALES!D:D,A96))</f>
        <v/>
      </c>
      <c r="D96" t="str">
        <f t="shared" si="1"/>
        <v/>
      </c>
    </row>
    <row r="97" spans="1:4" x14ac:dyDescent="0.2">
      <c r="A97" t="str">
        <f>IF(MASTER_PRODUCTS!B97="","",MASTER_PRODUCTS!B97)</f>
        <v/>
      </c>
      <c r="B97" t="str">
        <f>IF(A97="","",SUMIFS(PRODUCTION_REPORT!C:C,PRODUCTION_REPORT!B:B,A97))</f>
        <v/>
      </c>
      <c r="C97" t="str">
        <f>IF(A97="","",SUMIFS(SALES!E:E,SALES!D:D,A97))</f>
        <v/>
      </c>
      <c r="D97" t="str">
        <f t="shared" si="1"/>
        <v/>
      </c>
    </row>
    <row r="98" spans="1:4" x14ac:dyDescent="0.2">
      <c r="A98" t="str">
        <f>IF(MASTER_PRODUCTS!B98="","",MASTER_PRODUCTS!B98)</f>
        <v/>
      </c>
      <c r="B98" t="str">
        <f>IF(A98="","",SUMIFS(PRODUCTION_REPORT!C:C,PRODUCTION_REPORT!B:B,A98))</f>
        <v/>
      </c>
      <c r="C98" t="str">
        <f>IF(A98="","",SUMIFS(SALES!E:E,SALES!D:D,A98))</f>
        <v/>
      </c>
      <c r="D98" t="str">
        <f t="shared" si="1"/>
        <v/>
      </c>
    </row>
    <row r="99" spans="1:4" x14ac:dyDescent="0.2">
      <c r="A99" t="str">
        <f>IF(MASTER_PRODUCTS!B99="","",MASTER_PRODUCTS!B99)</f>
        <v/>
      </c>
      <c r="B99" t="str">
        <f>IF(A99="","",SUMIFS(PRODUCTION_REPORT!C:C,PRODUCTION_REPORT!B:B,A99))</f>
        <v/>
      </c>
      <c r="C99" t="str">
        <f>IF(A99="","",SUMIFS(SALES!E:E,SALES!D:D,A99))</f>
        <v/>
      </c>
      <c r="D99" t="str">
        <f t="shared" si="1"/>
        <v/>
      </c>
    </row>
    <row r="100" spans="1:4" x14ac:dyDescent="0.2">
      <c r="A100" t="str">
        <f>IF(MASTER_PRODUCTS!B100="","",MASTER_PRODUCTS!B100)</f>
        <v/>
      </c>
      <c r="B100" t="str">
        <f>IF(A100="","",SUMIFS(PRODUCTION_REPORT!C:C,PRODUCTION_REPORT!B:B,A100))</f>
        <v/>
      </c>
      <c r="C100" t="str">
        <f>IF(A100="","",SUMIFS(SALES!E:E,SALES!D:D,A100))</f>
        <v/>
      </c>
      <c r="D100" t="str">
        <f t="shared" si="1"/>
        <v/>
      </c>
    </row>
    <row r="101" spans="1:4" x14ac:dyDescent="0.2">
      <c r="A101" t="str">
        <f>IF(MASTER_PRODUCTS!B101="","",MASTER_PRODUCTS!B101)</f>
        <v/>
      </c>
      <c r="B101" t="str">
        <f>IF(A101="","",SUMIFS(PRODUCTION_REPORT!C:C,PRODUCTION_REPORT!B:B,A101))</f>
        <v/>
      </c>
      <c r="C101" t="str">
        <f>IF(A101="","",SUMIFS(SALES!E:E,SALES!D:D,A101))</f>
        <v/>
      </c>
      <c r="D101" t="str">
        <f t="shared" si="1"/>
        <v/>
      </c>
    </row>
    <row r="102" spans="1:4" x14ac:dyDescent="0.2">
      <c r="A102" t="str">
        <f>IF(MASTER_PRODUCTS!B102="","",MASTER_PRODUCTS!B102)</f>
        <v/>
      </c>
      <c r="B102" t="str">
        <f>IF(A102="","",SUMIFS(PRODUCTION_REPORT!C:C,PRODUCTION_REPORT!B:B,A102))</f>
        <v/>
      </c>
      <c r="C102" t="str">
        <f>IF(A102="","",SUMIFS(SALES!E:E,SALES!D:D,A102))</f>
        <v/>
      </c>
      <c r="D102" t="str">
        <f t="shared" si="1"/>
        <v/>
      </c>
    </row>
    <row r="103" spans="1:4" x14ac:dyDescent="0.2">
      <c r="A103" t="str">
        <f>IF(MASTER_PRODUCTS!B103="","",MASTER_PRODUCTS!B103)</f>
        <v/>
      </c>
      <c r="B103" t="str">
        <f>IF(A103="","",SUMIFS(PRODUCTION_REPORT!C:C,PRODUCTION_REPORT!B:B,A103))</f>
        <v/>
      </c>
      <c r="C103" t="str">
        <f>IF(A103="","",SUMIFS(SALES!E:E,SALES!D:D,A103))</f>
        <v/>
      </c>
      <c r="D103" t="str">
        <f t="shared" si="1"/>
        <v/>
      </c>
    </row>
    <row r="104" spans="1:4" x14ac:dyDescent="0.2">
      <c r="A104" t="str">
        <f>IF(MASTER_PRODUCTS!B104="","",MASTER_PRODUCTS!B104)</f>
        <v/>
      </c>
      <c r="B104" t="str">
        <f>IF(A104="","",SUMIFS(PRODUCTION_REPORT!C:C,PRODUCTION_REPORT!B:B,A104))</f>
        <v/>
      </c>
      <c r="C104" t="str">
        <f>IF(A104="","",SUMIFS(SALES!E:E,SALES!D:D,A104))</f>
        <v/>
      </c>
      <c r="D104" t="str">
        <f t="shared" si="1"/>
        <v/>
      </c>
    </row>
    <row r="105" spans="1:4" x14ac:dyDescent="0.2">
      <c r="A105" t="str">
        <f>IF(MASTER_PRODUCTS!B105="","",MASTER_PRODUCTS!B105)</f>
        <v/>
      </c>
      <c r="B105" t="str">
        <f>IF(A105="","",SUMIFS(PRODUCTION_REPORT!C:C,PRODUCTION_REPORT!B:B,A105))</f>
        <v/>
      </c>
      <c r="C105" t="str">
        <f>IF(A105="","",SUMIFS(SALES!E:E,SALES!D:D,A105))</f>
        <v/>
      </c>
      <c r="D105" t="str">
        <f t="shared" si="1"/>
        <v/>
      </c>
    </row>
    <row r="106" spans="1:4" x14ac:dyDescent="0.2">
      <c r="A106" t="str">
        <f>IF(MASTER_PRODUCTS!B106="","",MASTER_PRODUCTS!B106)</f>
        <v/>
      </c>
      <c r="B106" t="str">
        <f>IF(A106="","",SUMIFS(PRODUCTION_REPORT!C:C,PRODUCTION_REPORT!B:B,A106))</f>
        <v/>
      </c>
      <c r="C106" t="str">
        <f>IF(A106="","",SUMIFS(SALES!E:E,SALES!D:D,A106))</f>
        <v/>
      </c>
      <c r="D106" t="str">
        <f t="shared" si="1"/>
        <v/>
      </c>
    </row>
    <row r="107" spans="1:4" x14ac:dyDescent="0.2">
      <c r="A107" t="str">
        <f>IF(MASTER_PRODUCTS!B107="","",MASTER_PRODUCTS!B107)</f>
        <v/>
      </c>
      <c r="B107" t="str">
        <f>IF(A107="","",SUMIFS(PRODUCTION_REPORT!C:C,PRODUCTION_REPORT!B:B,A107))</f>
        <v/>
      </c>
      <c r="C107" t="str">
        <f>IF(A107="","",SUMIFS(SALES!E:E,SALES!D:D,A107))</f>
        <v/>
      </c>
      <c r="D107" t="str">
        <f t="shared" si="1"/>
        <v/>
      </c>
    </row>
    <row r="108" spans="1:4" x14ac:dyDescent="0.2">
      <c r="A108" t="str">
        <f>IF(MASTER_PRODUCTS!B108="","",MASTER_PRODUCTS!B108)</f>
        <v/>
      </c>
      <c r="B108" t="str">
        <f>IF(A108="","",SUMIFS(PRODUCTION_REPORT!C:C,PRODUCTION_REPORT!B:B,A108))</f>
        <v/>
      </c>
      <c r="C108" t="str">
        <f>IF(A108="","",SUMIFS(SALES!E:E,SALES!D:D,A108))</f>
        <v/>
      </c>
      <c r="D108" t="str">
        <f t="shared" si="1"/>
        <v/>
      </c>
    </row>
    <row r="109" spans="1:4" x14ac:dyDescent="0.2">
      <c r="A109" t="str">
        <f>IF(MASTER_PRODUCTS!B109="","",MASTER_PRODUCTS!B109)</f>
        <v/>
      </c>
      <c r="B109" t="str">
        <f>IF(A109="","",SUMIFS(PRODUCTION_REPORT!C:C,PRODUCTION_REPORT!B:B,A109))</f>
        <v/>
      </c>
      <c r="C109" t="str">
        <f>IF(A109="","",SUMIFS(SALES!E:E,SALES!D:D,A109))</f>
        <v/>
      </c>
      <c r="D109" t="str">
        <f t="shared" si="1"/>
        <v/>
      </c>
    </row>
    <row r="110" spans="1:4" x14ac:dyDescent="0.2">
      <c r="A110" t="str">
        <f>IF(MASTER_PRODUCTS!B110="","",MASTER_PRODUCTS!B110)</f>
        <v/>
      </c>
      <c r="B110" t="str">
        <f>IF(A110="","",SUMIFS(PRODUCTION_REPORT!C:C,PRODUCTION_REPORT!B:B,A110))</f>
        <v/>
      </c>
      <c r="C110" t="str">
        <f>IF(A110="","",SUMIFS(SALES!E:E,SALES!D:D,A110))</f>
        <v/>
      </c>
      <c r="D110" t="str">
        <f t="shared" si="1"/>
        <v/>
      </c>
    </row>
    <row r="111" spans="1:4" x14ac:dyDescent="0.2">
      <c r="A111" t="str">
        <f>IF(MASTER_PRODUCTS!B111="","",MASTER_PRODUCTS!B111)</f>
        <v/>
      </c>
      <c r="B111" t="str">
        <f>IF(A111="","",SUMIFS(PRODUCTION_REPORT!C:C,PRODUCTION_REPORT!B:B,A111))</f>
        <v/>
      </c>
      <c r="C111" t="str">
        <f>IF(A111="","",SUMIFS(SALES!E:E,SALES!D:D,A111))</f>
        <v/>
      </c>
      <c r="D111" t="str">
        <f t="shared" si="1"/>
        <v/>
      </c>
    </row>
    <row r="112" spans="1:4" x14ac:dyDescent="0.2">
      <c r="A112" t="str">
        <f>IF(MASTER_PRODUCTS!B112="","",MASTER_PRODUCTS!B112)</f>
        <v/>
      </c>
      <c r="B112" t="str">
        <f>IF(A112="","",SUMIFS(PRODUCTION_REPORT!C:C,PRODUCTION_REPORT!B:B,A112))</f>
        <v/>
      </c>
      <c r="C112" t="str">
        <f>IF(A112="","",SUMIFS(SALES!E:E,SALES!D:D,A112))</f>
        <v/>
      </c>
      <c r="D112" t="str">
        <f t="shared" si="1"/>
        <v/>
      </c>
    </row>
    <row r="113" spans="1:4" x14ac:dyDescent="0.2">
      <c r="A113" t="str">
        <f>IF(MASTER_PRODUCTS!B113="","",MASTER_PRODUCTS!B113)</f>
        <v/>
      </c>
      <c r="B113" t="str">
        <f>IF(A113="","",SUMIFS(PRODUCTION_REPORT!C:C,PRODUCTION_REPORT!B:B,A113))</f>
        <v/>
      </c>
      <c r="C113" t="str">
        <f>IF(A113="","",SUMIFS(SALES!E:E,SALES!D:D,A113))</f>
        <v/>
      </c>
      <c r="D113" t="str">
        <f t="shared" si="1"/>
        <v/>
      </c>
    </row>
    <row r="114" spans="1:4" x14ac:dyDescent="0.2">
      <c r="A114" t="str">
        <f>IF(MASTER_PRODUCTS!B114="","",MASTER_PRODUCTS!B114)</f>
        <v/>
      </c>
      <c r="B114" t="str">
        <f>IF(A114="","",SUMIFS(PRODUCTION_REPORT!C:C,PRODUCTION_REPORT!B:B,A114))</f>
        <v/>
      </c>
      <c r="C114" t="str">
        <f>IF(A114="","",SUMIFS(SALES!E:E,SALES!D:D,A114))</f>
        <v/>
      </c>
      <c r="D114" t="str">
        <f t="shared" si="1"/>
        <v/>
      </c>
    </row>
    <row r="115" spans="1:4" x14ac:dyDescent="0.2">
      <c r="A115" t="str">
        <f>IF(MASTER_PRODUCTS!B115="","",MASTER_PRODUCTS!B115)</f>
        <v/>
      </c>
      <c r="B115" t="str">
        <f>IF(A115="","",SUMIFS(PRODUCTION_REPORT!C:C,PRODUCTION_REPORT!B:B,A115))</f>
        <v/>
      </c>
      <c r="C115" t="str">
        <f>IF(A115="","",SUMIFS(SALES!E:E,SALES!D:D,A115))</f>
        <v/>
      </c>
      <c r="D115" t="str">
        <f t="shared" si="1"/>
        <v/>
      </c>
    </row>
    <row r="116" spans="1:4" x14ac:dyDescent="0.2">
      <c r="A116" t="str">
        <f>IF(MASTER_PRODUCTS!B116="","",MASTER_PRODUCTS!B116)</f>
        <v/>
      </c>
      <c r="B116" t="str">
        <f>IF(A116="","",SUMIFS(PRODUCTION_REPORT!C:C,PRODUCTION_REPORT!B:B,A116))</f>
        <v/>
      </c>
      <c r="C116" t="str">
        <f>IF(A116="","",SUMIFS(SALES!E:E,SALES!D:D,A116))</f>
        <v/>
      </c>
      <c r="D116" t="str">
        <f t="shared" si="1"/>
        <v/>
      </c>
    </row>
    <row r="117" spans="1:4" x14ac:dyDescent="0.2">
      <c r="A117" t="str">
        <f>IF(MASTER_PRODUCTS!B117="","",MASTER_PRODUCTS!B117)</f>
        <v/>
      </c>
      <c r="B117" t="str">
        <f>IF(A117="","",SUMIFS(PRODUCTION_REPORT!C:C,PRODUCTION_REPORT!B:B,A117))</f>
        <v/>
      </c>
      <c r="C117" t="str">
        <f>IF(A117="","",SUMIFS(SALES!E:E,SALES!D:D,A117))</f>
        <v/>
      </c>
      <c r="D117" t="str">
        <f t="shared" si="1"/>
        <v/>
      </c>
    </row>
    <row r="118" spans="1:4" x14ac:dyDescent="0.2">
      <c r="A118" t="str">
        <f>IF(MASTER_PRODUCTS!B118="","",MASTER_PRODUCTS!B118)</f>
        <v/>
      </c>
      <c r="B118" t="str">
        <f>IF(A118="","",SUMIFS(PRODUCTION_REPORT!C:C,PRODUCTION_REPORT!B:B,A118))</f>
        <v/>
      </c>
      <c r="C118" t="str">
        <f>IF(A118="","",SUMIFS(SALES!E:E,SALES!D:D,A118))</f>
        <v/>
      </c>
      <c r="D118" t="str">
        <f t="shared" si="1"/>
        <v/>
      </c>
    </row>
    <row r="119" spans="1:4" x14ac:dyDescent="0.2">
      <c r="A119" t="str">
        <f>IF(MASTER_PRODUCTS!B119="","",MASTER_PRODUCTS!B119)</f>
        <v/>
      </c>
      <c r="B119" t="str">
        <f>IF(A119="","",SUMIFS(PRODUCTION_REPORT!C:C,PRODUCTION_REPORT!B:B,A119))</f>
        <v/>
      </c>
      <c r="C119" t="str">
        <f>IF(A119="","",SUMIFS(SALES!E:E,SALES!D:D,A119))</f>
        <v/>
      </c>
      <c r="D119" t="str">
        <f t="shared" si="1"/>
        <v/>
      </c>
    </row>
    <row r="120" spans="1:4" x14ac:dyDescent="0.2">
      <c r="A120" t="str">
        <f>IF(MASTER_PRODUCTS!B120="","",MASTER_PRODUCTS!B120)</f>
        <v/>
      </c>
      <c r="B120" t="str">
        <f>IF(A120="","",SUMIFS(PRODUCTION_REPORT!C:C,PRODUCTION_REPORT!B:B,A120))</f>
        <v/>
      </c>
      <c r="C120" t="str">
        <f>IF(A120="","",SUMIFS(SALES!E:E,SALES!D:D,A120))</f>
        <v/>
      </c>
      <c r="D120" t="str">
        <f t="shared" si="1"/>
        <v/>
      </c>
    </row>
    <row r="121" spans="1:4" x14ac:dyDescent="0.2">
      <c r="A121" t="str">
        <f>IF(MASTER_PRODUCTS!B121="","",MASTER_PRODUCTS!B121)</f>
        <v/>
      </c>
      <c r="B121" t="str">
        <f>IF(A121="","",SUMIFS(PRODUCTION_REPORT!C:C,PRODUCTION_REPORT!B:B,A121))</f>
        <v/>
      </c>
      <c r="C121" t="str">
        <f>IF(A121="","",SUMIFS(SALES!E:E,SALES!D:D,A121))</f>
        <v/>
      </c>
      <c r="D121" t="str">
        <f t="shared" si="1"/>
        <v/>
      </c>
    </row>
    <row r="122" spans="1:4" x14ac:dyDescent="0.2">
      <c r="A122" t="str">
        <f>IF(MASTER_PRODUCTS!B122="","",MASTER_PRODUCTS!B122)</f>
        <v/>
      </c>
      <c r="B122" t="str">
        <f>IF(A122="","",SUMIFS(PRODUCTION_REPORT!C:C,PRODUCTION_REPORT!B:B,A122))</f>
        <v/>
      </c>
      <c r="C122" t="str">
        <f>IF(A122="","",SUMIFS(SALES!E:E,SALES!D:D,A122))</f>
        <v/>
      </c>
      <c r="D122" t="str">
        <f t="shared" si="1"/>
        <v/>
      </c>
    </row>
    <row r="123" spans="1:4" x14ac:dyDescent="0.2">
      <c r="A123" t="str">
        <f>IF(MASTER_PRODUCTS!B123="","",MASTER_PRODUCTS!B123)</f>
        <v/>
      </c>
      <c r="B123" t="str">
        <f>IF(A123="","",SUMIFS(PRODUCTION_REPORT!C:C,PRODUCTION_REPORT!B:B,A123))</f>
        <v/>
      </c>
      <c r="C123" t="str">
        <f>IF(A123="","",SUMIFS(SALES!E:E,SALES!D:D,A123))</f>
        <v/>
      </c>
      <c r="D123" t="str">
        <f t="shared" si="1"/>
        <v/>
      </c>
    </row>
    <row r="124" spans="1:4" x14ac:dyDescent="0.2">
      <c r="A124" t="str">
        <f>IF(MASTER_PRODUCTS!B124="","",MASTER_PRODUCTS!B124)</f>
        <v/>
      </c>
      <c r="B124" t="str">
        <f>IF(A124="","",SUMIFS(PRODUCTION_REPORT!C:C,PRODUCTION_REPORT!B:B,A124))</f>
        <v/>
      </c>
      <c r="C124" t="str">
        <f>IF(A124="","",SUMIFS(SALES!E:E,SALES!D:D,A124))</f>
        <v/>
      </c>
      <c r="D124" t="str">
        <f t="shared" si="1"/>
        <v/>
      </c>
    </row>
    <row r="125" spans="1:4" x14ac:dyDescent="0.2">
      <c r="A125" t="str">
        <f>IF(MASTER_PRODUCTS!B125="","",MASTER_PRODUCTS!B125)</f>
        <v/>
      </c>
      <c r="B125" t="str">
        <f>IF(A125="","",SUMIFS(PRODUCTION_REPORT!C:C,PRODUCTION_REPORT!B:B,A125))</f>
        <v/>
      </c>
      <c r="C125" t="str">
        <f>IF(A125="","",SUMIFS(SALES!E:E,SALES!D:D,A125))</f>
        <v/>
      </c>
      <c r="D125" t="str">
        <f t="shared" si="1"/>
        <v/>
      </c>
    </row>
    <row r="126" spans="1:4" x14ac:dyDescent="0.2">
      <c r="A126" t="str">
        <f>IF(MASTER_PRODUCTS!B126="","",MASTER_PRODUCTS!B126)</f>
        <v/>
      </c>
      <c r="B126" t="str">
        <f>IF(A126="","",SUMIFS(PRODUCTION_REPORT!C:C,PRODUCTION_REPORT!B:B,A126))</f>
        <v/>
      </c>
      <c r="C126" t="str">
        <f>IF(A126="","",SUMIFS(SALES!E:E,SALES!D:D,A126))</f>
        <v/>
      </c>
      <c r="D126" t="str">
        <f t="shared" si="1"/>
        <v/>
      </c>
    </row>
    <row r="127" spans="1:4" x14ac:dyDescent="0.2">
      <c r="A127" t="str">
        <f>IF(MASTER_PRODUCTS!B127="","",MASTER_PRODUCTS!B127)</f>
        <v/>
      </c>
      <c r="B127" t="str">
        <f>IF(A127="","",SUMIFS(PRODUCTION_REPORT!C:C,PRODUCTION_REPORT!B:B,A127))</f>
        <v/>
      </c>
      <c r="C127" t="str">
        <f>IF(A127="","",SUMIFS(SALES!E:E,SALES!D:D,A127))</f>
        <v/>
      </c>
      <c r="D127" t="str">
        <f t="shared" si="1"/>
        <v/>
      </c>
    </row>
    <row r="128" spans="1:4" x14ac:dyDescent="0.2">
      <c r="A128" t="str">
        <f>IF(MASTER_PRODUCTS!B128="","",MASTER_PRODUCTS!B128)</f>
        <v/>
      </c>
      <c r="B128" t="str">
        <f>IF(A128="","",SUMIFS(PRODUCTION_REPORT!C:C,PRODUCTION_REPORT!B:B,A128))</f>
        <v/>
      </c>
      <c r="C128" t="str">
        <f>IF(A128="","",SUMIFS(SALES!E:E,SALES!D:D,A128))</f>
        <v/>
      </c>
      <c r="D128" t="str">
        <f t="shared" si="1"/>
        <v/>
      </c>
    </row>
    <row r="129" spans="1:4" x14ac:dyDescent="0.2">
      <c r="A129" t="str">
        <f>IF(MASTER_PRODUCTS!B129="","",MASTER_PRODUCTS!B129)</f>
        <v/>
      </c>
      <c r="B129" t="str">
        <f>IF(A129="","",SUMIFS(PRODUCTION_REPORT!C:C,PRODUCTION_REPORT!B:B,A129))</f>
        <v/>
      </c>
      <c r="C129" t="str">
        <f>IF(A129="","",SUMIFS(SALES!E:E,SALES!D:D,A129))</f>
        <v/>
      </c>
      <c r="D129" t="str">
        <f t="shared" si="1"/>
        <v/>
      </c>
    </row>
    <row r="130" spans="1:4" x14ac:dyDescent="0.2">
      <c r="A130" t="str">
        <f>IF(MASTER_PRODUCTS!B130="","",MASTER_PRODUCTS!B130)</f>
        <v/>
      </c>
      <c r="B130" t="str">
        <f>IF(A130="","",SUMIFS(PRODUCTION_REPORT!C:C,PRODUCTION_REPORT!B:B,A130))</f>
        <v/>
      </c>
      <c r="C130" t="str">
        <f>IF(A130="","",SUMIFS(SALES!E:E,SALES!D:D,A130))</f>
        <v/>
      </c>
      <c r="D130" t="str">
        <f t="shared" ref="D130:D193" si="2">IF(A130="","",B130-C130)</f>
        <v/>
      </c>
    </row>
    <row r="131" spans="1:4" x14ac:dyDescent="0.2">
      <c r="A131" t="str">
        <f>IF(MASTER_PRODUCTS!B131="","",MASTER_PRODUCTS!B131)</f>
        <v/>
      </c>
      <c r="B131" t="str">
        <f>IF(A131="","",SUMIFS(PRODUCTION_REPORT!C:C,PRODUCTION_REPORT!B:B,A131))</f>
        <v/>
      </c>
      <c r="C131" t="str">
        <f>IF(A131="","",SUMIFS(SALES!E:E,SALES!D:D,A131))</f>
        <v/>
      </c>
      <c r="D131" t="str">
        <f t="shared" si="2"/>
        <v/>
      </c>
    </row>
    <row r="132" spans="1:4" x14ac:dyDescent="0.2">
      <c r="A132" t="str">
        <f>IF(MASTER_PRODUCTS!B132="","",MASTER_PRODUCTS!B132)</f>
        <v/>
      </c>
      <c r="B132" t="str">
        <f>IF(A132="","",SUMIFS(PRODUCTION_REPORT!C:C,PRODUCTION_REPORT!B:B,A132))</f>
        <v/>
      </c>
      <c r="C132" t="str">
        <f>IF(A132="","",SUMIFS(SALES!E:E,SALES!D:D,A132))</f>
        <v/>
      </c>
      <c r="D132" t="str">
        <f t="shared" si="2"/>
        <v/>
      </c>
    </row>
    <row r="133" spans="1:4" x14ac:dyDescent="0.2">
      <c r="A133" t="str">
        <f>IF(MASTER_PRODUCTS!B133="","",MASTER_PRODUCTS!B133)</f>
        <v/>
      </c>
      <c r="B133" t="str">
        <f>IF(A133="","",SUMIFS(PRODUCTION_REPORT!C:C,PRODUCTION_REPORT!B:B,A133))</f>
        <v/>
      </c>
      <c r="C133" t="str">
        <f>IF(A133="","",SUMIFS(SALES!E:E,SALES!D:D,A133))</f>
        <v/>
      </c>
      <c r="D133" t="str">
        <f t="shared" si="2"/>
        <v/>
      </c>
    </row>
    <row r="134" spans="1:4" x14ac:dyDescent="0.2">
      <c r="A134" t="str">
        <f>IF(MASTER_PRODUCTS!B134="","",MASTER_PRODUCTS!B134)</f>
        <v/>
      </c>
      <c r="B134" t="str">
        <f>IF(A134="","",SUMIFS(PRODUCTION_REPORT!C:C,PRODUCTION_REPORT!B:B,A134))</f>
        <v/>
      </c>
      <c r="C134" t="str">
        <f>IF(A134="","",SUMIFS(SALES!E:E,SALES!D:D,A134))</f>
        <v/>
      </c>
      <c r="D134" t="str">
        <f t="shared" si="2"/>
        <v/>
      </c>
    </row>
    <row r="135" spans="1:4" x14ac:dyDescent="0.2">
      <c r="A135" t="str">
        <f>IF(MASTER_PRODUCTS!B135="","",MASTER_PRODUCTS!B135)</f>
        <v/>
      </c>
      <c r="B135" t="str">
        <f>IF(A135="","",SUMIFS(PRODUCTION_REPORT!C:C,PRODUCTION_REPORT!B:B,A135))</f>
        <v/>
      </c>
      <c r="C135" t="str">
        <f>IF(A135="","",SUMIFS(SALES!E:E,SALES!D:D,A135))</f>
        <v/>
      </c>
      <c r="D135" t="str">
        <f t="shared" si="2"/>
        <v/>
      </c>
    </row>
    <row r="136" spans="1:4" x14ac:dyDescent="0.2">
      <c r="A136" t="str">
        <f>IF(MASTER_PRODUCTS!B136="","",MASTER_PRODUCTS!B136)</f>
        <v/>
      </c>
      <c r="B136" t="str">
        <f>IF(A136="","",SUMIFS(PRODUCTION_REPORT!C:C,PRODUCTION_REPORT!B:B,A136))</f>
        <v/>
      </c>
      <c r="C136" t="str">
        <f>IF(A136="","",SUMIFS(SALES!E:E,SALES!D:D,A136))</f>
        <v/>
      </c>
      <c r="D136" t="str">
        <f t="shared" si="2"/>
        <v/>
      </c>
    </row>
    <row r="137" spans="1:4" x14ac:dyDescent="0.2">
      <c r="A137" t="str">
        <f>IF(MASTER_PRODUCTS!B137="","",MASTER_PRODUCTS!B137)</f>
        <v/>
      </c>
      <c r="B137" t="str">
        <f>IF(A137="","",SUMIFS(PRODUCTION_REPORT!C:C,PRODUCTION_REPORT!B:B,A137))</f>
        <v/>
      </c>
      <c r="C137" t="str">
        <f>IF(A137="","",SUMIFS(SALES!E:E,SALES!D:D,A137))</f>
        <v/>
      </c>
      <c r="D137" t="str">
        <f t="shared" si="2"/>
        <v/>
      </c>
    </row>
    <row r="138" spans="1:4" x14ac:dyDescent="0.2">
      <c r="A138" t="str">
        <f>IF(MASTER_PRODUCTS!B138="","",MASTER_PRODUCTS!B138)</f>
        <v/>
      </c>
      <c r="B138" t="str">
        <f>IF(A138="","",SUMIFS(PRODUCTION_REPORT!C:C,PRODUCTION_REPORT!B:B,A138))</f>
        <v/>
      </c>
      <c r="C138" t="str">
        <f>IF(A138="","",SUMIFS(SALES!E:E,SALES!D:D,A138))</f>
        <v/>
      </c>
      <c r="D138" t="str">
        <f t="shared" si="2"/>
        <v/>
      </c>
    </row>
    <row r="139" spans="1:4" x14ac:dyDescent="0.2">
      <c r="A139" t="str">
        <f>IF(MASTER_PRODUCTS!B139="","",MASTER_PRODUCTS!B139)</f>
        <v/>
      </c>
      <c r="B139" t="str">
        <f>IF(A139="","",SUMIFS(PRODUCTION_REPORT!C:C,PRODUCTION_REPORT!B:B,A139))</f>
        <v/>
      </c>
      <c r="C139" t="str">
        <f>IF(A139="","",SUMIFS(SALES!E:E,SALES!D:D,A139))</f>
        <v/>
      </c>
      <c r="D139" t="str">
        <f t="shared" si="2"/>
        <v/>
      </c>
    </row>
    <row r="140" spans="1:4" x14ac:dyDescent="0.2">
      <c r="A140" t="str">
        <f>IF(MASTER_PRODUCTS!B140="","",MASTER_PRODUCTS!B140)</f>
        <v/>
      </c>
      <c r="B140" t="str">
        <f>IF(A140="","",SUMIFS(PRODUCTION_REPORT!C:C,PRODUCTION_REPORT!B:B,A140))</f>
        <v/>
      </c>
      <c r="C140" t="str">
        <f>IF(A140="","",SUMIFS(SALES!E:E,SALES!D:D,A140))</f>
        <v/>
      </c>
      <c r="D140" t="str">
        <f t="shared" si="2"/>
        <v/>
      </c>
    </row>
    <row r="141" spans="1:4" x14ac:dyDescent="0.2">
      <c r="A141" t="str">
        <f>IF(MASTER_PRODUCTS!B141="","",MASTER_PRODUCTS!B141)</f>
        <v/>
      </c>
      <c r="B141" t="str">
        <f>IF(A141="","",SUMIFS(PRODUCTION_REPORT!C:C,PRODUCTION_REPORT!B:B,A141))</f>
        <v/>
      </c>
      <c r="C141" t="str">
        <f>IF(A141="","",SUMIFS(SALES!E:E,SALES!D:D,A141))</f>
        <v/>
      </c>
      <c r="D141" t="str">
        <f t="shared" si="2"/>
        <v/>
      </c>
    </row>
    <row r="142" spans="1:4" x14ac:dyDescent="0.2">
      <c r="A142" t="str">
        <f>IF(MASTER_PRODUCTS!B142="","",MASTER_PRODUCTS!B142)</f>
        <v/>
      </c>
      <c r="B142" t="str">
        <f>IF(A142="","",SUMIFS(PRODUCTION_REPORT!C:C,PRODUCTION_REPORT!B:B,A142))</f>
        <v/>
      </c>
      <c r="C142" t="str">
        <f>IF(A142="","",SUMIFS(SALES!E:E,SALES!D:D,A142))</f>
        <v/>
      </c>
      <c r="D142" t="str">
        <f t="shared" si="2"/>
        <v/>
      </c>
    </row>
    <row r="143" spans="1:4" x14ac:dyDescent="0.2">
      <c r="A143" t="str">
        <f>IF(MASTER_PRODUCTS!B143="","",MASTER_PRODUCTS!B143)</f>
        <v/>
      </c>
      <c r="B143" t="str">
        <f>IF(A143="","",SUMIFS(PRODUCTION_REPORT!C:C,PRODUCTION_REPORT!B:B,A143))</f>
        <v/>
      </c>
      <c r="C143" t="str">
        <f>IF(A143="","",SUMIFS(SALES!E:E,SALES!D:D,A143))</f>
        <v/>
      </c>
      <c r="D143" t="str">
        <f t="shared" si="2"/>
        <v/>
      </c>
    </row>
    <row r="144" spans="1:4" x14ac:dyDescent="0.2">
      <c r="A144" t="str">
        <f>IF(MASTER_PRODUCTS!B144="","",MASTER_PRODUCTS!B144)</f>
        <v/>
      </c>
      <c r="B144" t="str">
        <f>IF(A144="","",SUMIFS(PRODUCTION_REPORT!C:C,PRODUCTION_REPORT!B:B,A144))</f>
        <v/>
      </c>
      <c r="C144" t="str">
        <f>IF(A144="","",SUMIFS(SALES!E:E,SALES!D:D,A144))</f>
        <v/>
      </c>
      <c r="D144" t="str">
        <f t="shared" si="2"/>
        <v/>
      </c>
    </row>
    <row r="145" spans="1:4" x14ac:dyDescent="0.2">
      <c r="A145" t="str">
        <f>IF(MASTER_PRODUCTS!B145="","",MASTER_PRODUCTS!B145)</f>
        <v/>
      </c>
      <c r="B145" t="str">
        <f>IF(A145="","",SUMIFS(PRODUCTION_REPORT!C:C,PRODUCTION_REPORT!B:B,A145))</f>
        <v/>
      </c>
      <c r="C145" t="str">
        <f>IF(A145="","",SUMIFS(SALES!E:E,SALES!D:D,A145))</f>
        <v/>
      </c>
      <c r="D145" t="str">
        <f t="shared" si="2"/>
        <v/>
      </c>
    </row>
    <row r="146" spans="1:4" x14ac:dyDescent="0.2">
      <c r="A146" t="str">
        <f>IF(MASTER_PRODUCTS!B146="","",MASTER_PRODUCTS!B146)</f>
        <v/>
      </c>
      <c r="B146" t="str">
        <f>IF(A146="","",SUMIFS(PRODUCTION_REPORT!C:C,PRODUCTION_REPORT!B:B,A146))</f>
        <v/>
      </c>
      <c r="C146" t="str">
        <f>IF(A146="","",SUMIFS(SALES!E:E,SALES!D:D,A146))</f>
        <v/>
      </c>
      <c r="D146" t="str">
        <f t="shared" si="2"/>
        <v/>
      </c>
    </row>
    <row r="147" spans="1:4" x14ac:dyDescent="0.2">
      <c r="A147" t="str">
        <f>IF(MASTER_PRODUCTS!B147="","",MASTER_PRODUCTS!B147)</f>
        <v/>
      </c>
      <c r="B147" t="str">
        <f>IF(A147="","",SUMIFS(PRODUCTION_REPORT!C:C,PRODUCTION_REPORT!B:B,A147))</f>
        <v/>
      </c>
      <c r="C147" t="str">
        <f>IF(A147="","",SUMIFS(SALES!E:E,SALES!D:D,A147))</f>
        <v/>
      </c>
      <c r="D147" t="str">
        <f t="shared" si="2"/>
        <v/>
      </c>
    </row>
    <row r="148" spans="1:4" x14ac:dyDescent="0.2">
      <c r="A148" t="str">
        <f>IF(MASTER_PRODUCTS!B148="","",MASTER_PRODUCTS!B148)</f>
        <v/>
      </c>
      <c r="B148" t="str">
        <f>IF(A148="","",SUMIFS(PRODUCTION_REPORT!C:C,PRODUCTION_REPORT!B:B,A148))</f>
        <v/>
      </c>
      <c r="C148" t="str">
        <f>IF(A148="","",SUMIFS(SALES!E:E,SALES!D:D,A148))</f>
        <v/>
      </c>
      <c r="D148" t="str">
        <f t="shared" si="2"/>
        <v/>
      </c>
    </row>
    <row r="149" spans="1:4" x14ac:dyDescent="0.2">
      <c r="A149" t="str">
        <f>IF(MASTER_PRODUCTS!B149="","",MASTER_PRODUCTS!B149)</f>
        <v/>
      </c>
      <c r="B149" t="str">
        <f>IF(A149="","",SUMIFS(PRODUCTION_REPORT!C:C,PRODUCTION_REPORT!B:B,A149))</f>
        <v/>
      </c>
      <c r="C149" t="str">
        <f>IF(A149="","",SUMIFS(SALES!E:E,SALES!D:D,A149))</f>
        <v/>
      </c>
      <c r="D149" t="str">
        <f t="shared" si="2"/>
        <v/>
      </c>
    </row>
    <row r="150" spans="1:4" x14ac:dyDescent="0.2">
      <c r="A150" t="str">
        <f>IF(MASTER_PRODUCTS!B150="","",MASTER_PRODUCTS!B150)</f>
        <v/>
      </c>
      <c r="B150" t="str">
        <f>IF(A150="","",SUMIFS(PRODUCTION_REPORT!C:C,PRODUCTION_REPORT!B:B,A150))</f>
        <v/>
      </c>
      <c r="C150" t="str">
        <f>IF(A150="","",SUMIFS(SALES!E:E,SALES!D:D,A150))</f>
        <v/>
      </c>
      <c r="D150" t="str">
        <f t="shared" si="2"/>
        <v/>
      </c>
    </row>
    <row r="151" spans="1:4" x14ac:dyDescent="0.2">
      <c r="A151" t="str">
        <f>IF(MASTER_PRODUCTS!B151="","",MASTER_PRODUCTS!B151)</f>
        <v/>
      </c>
      <c r="B151" t="str">
        <f>IF(A151="","",SUMIFS(PRODUCTION_REPORT!C:C,PRODUCTION_REPORT!B:B,A151))</f>
        <v/>
      </c>
      <c r="C151" t="str">
        <f>IF(A151="","",SUMIFS(SALES!E:E,SALES!D:D,A151))</f>
        <v/>
      </c>
      <c r="D151" t="str">
        <f t="shared" si="2"/>
        <v/>
      </c>
    </row>
    <row r="152" spans="1:4" x14ac:dyDescent="0.2">
      <c r="A152" t="str">
        <f>IF(MASTER_PRODUCTS!B152="","",MASTER_PRODUCTS!B152)</f>
        <v/>
      </c>
      <c r="B152" t="str">
        <f>IF(A152="","",SUMIFS(PRODUCTION_REPORT!C:C,PRODUCTION_REPORT!B:B,A152))</f>
        <v/>
      </c>
      <c r="C152" t="str">
        <f>IF(A152="","",SUMIFS(SALES!E:E,SALES!D:D,A152))</f>
        <v/>
      </c>
      <c r="D152" t="str">
        <f t="shared" si="2"/>
        <v/>
      </c>
    </row>
    <row r="153" spans="1:4" x14ac:dyDescent="0.2">
      <c r="A153" t="str">
        <f>IF(MASTER_PRODUCTS!B153="","",MASTER_PRODUCTS!B153)</f>
        <v/>
      </c>
      <c r="B153" t="str">
        <f>IF(A153="","",SUMIFS(PRODUCTION_REPORT!C:C,PRODUCTION_REPORT!B:B,A153))</f>
        <v/>
      </c>
      <c r="C153" t="str">
        <f>IF(A153="","",SUMIFS(SALES!E:E,SALES!D:D,A153))</f>
        <v/>
      </c>
      <c r="D153" t="str">
        <f t="shared" si="2"/>
        <v/>
      </c>
    </row>
    <row r="154" spans="1:4" x14ac:dyDescent="0.2">
      <c r="A154" t="str">
        <f>IF(MASTER_PRODUCTS!B154="","",MASTER_PRODUCTS!B154)</f>
        <v/>
      </c>
      <c r="B154" t="str">
        <f>IF(A154="","",SUMIFS(PRODUCTION_REPORT!C:C,PRODUCTION_REPORT!B:B,A154))</f>
        <v/>
      </c>
      <c r="C154" t="str">
        <f>IF(A154="","",SUMIFS(SALES!E:E,SALES!D:D,A154))</f>
        <v/>
      </c>
      <c r="D154" t="str">
        <f t="shared" si="2"/>
        <v/>
      </c>
    </row>
    <row r="155" spans="1:4" x14ac:dyDescent="0.2">
      <c r="A155" t="str">
        <f>IF(MASTER_PRODUCTS!B155="","",MASTER_PRODUCTS!B155)</f>
        <v/>
      </c>
      <c r="B155" t="str">
        <f>IF(A155="","",SUMIFS(PRODUCTION_REPORT!C:C,PRODUCTION_REPORT!B:B,A155))</f>
        <v/>
      </c>
      <c r="C155" t="str">
        <f>IF(A155="","",SUMIFS(SALES!E:E,SALES!D:D,A155))</f>
        <v/>
      </c>
      <c r="D155" t="str">
        <f t="shared" si="2"/>
        <v/>
      </c>
    </row>
    <row r="156" spans="1:4" x14ac:dyDescent="0.2">
      <c r="A156" t="str">
        <f>IF(MASTER_PRODUCTS!B156="","",MASTER_PRODUCTS!B156)</f>
        <v/>
      </c>
      <c r="B156" t="str">
        <f>IF(A156="","",SUMIFS(PRODUCTION_REPORT!C:C,PRODUCTION_REPORT!B:B,A156))</f>
        <v/>
      </c>
      <c r="C156" t="str">
        <f>IF(A156="","",SUMIFS(SALES!E:E,SALES!D:D,A156))</f>
        <v/>
      </c>
      <c r="D156" t="str">
        <f t="shared" si="2"/>
        <v/>
      </c>
    </row>
    <row r="157" spans="1:4" x14ac:dyDescent="0.2">
      <c r="A157" t="str">
        <f>IF(MASTER_PRODUCTS!B157="","",MASTER_PRODUCTS!B157)</f>
        <v/>
      </c>
      <c r="B157" t="str">
        <f>IF(A157="","",SUMIFS(PRODUCTION_REPORT!C:C,PRODUCTION_REPORT!B:B,A157))</f>
        <v/>
      </c>
      <c r="C157" t="str">
        <f>IF(A157="","",SUMIFS(SALES!E:E,SALES!D:D,A157))</f>
        <v/>
      </c>
      <c r="D157" t="str">
        <f t="shared" si="2"/>
        <v/>
      </c>
    </row>
    <row r="158" spans="1:4" x14ac:dyDescent="0.2">
      <c r="A158" t="str">
        <f>IF(MASTER_PRODUCTS!B158="","",MASTER_PRODUCTS!B158)</f>
        <v/>
      </c>
      <c r="B158" t="str">
        <f>IF(A158="","",SUMIFS(PRODUCTION_REPORT!C:C,PRODUCTION_REPORT!B:B,A158))</f>
        <v/>
      </c>
      <c r="C158" t="str">
        <f>IF(A158="","",SUMIFS(SALES!E:E,SALES!D:D,A158))</f>
        <v/>
      </c>
      <c r="D158" t="str">
        <f t="shared" si="2"/>
        <v/>
      </c>
    </row>
    <row r="159" spans="1:4" x14ac:dyDescent="0.2">
      <c r="A159" t="str">
        <f>IF(MASTER_PRODUCTS!B159="","",MASTER_PRODUCTS!B159)</f>
        <v/>
      </c>
      <c r="B159" t="str">
        <f>IF(A159="","",SUMIFS(PRODUCTION_REPORT!C:C,PRODUCTION_REPORT!B:B,A159))</f>
        <v/>
      </c>
      <c r="C159" t="str">
        <f>IF(A159="","",SUMIFS(SALES!E:E,SALES!D:D,A159))</f>
        <v/>
      </c>
      <c r="D159" t="str">
        <f t="shared" si="2"/>
        <v/>
      </c>
    </row>
    <row r="160" spans="1:4" x14ac:dyDescent="0.2">
      <c r="A160" t="str">
        <f>IF(MASTER_PRODUCTS!B160="","",MASTER_PRODUCTS!B160)</f>
        <v/>
      </c>
      <c r="B160" t="str">
        <f>IF(A160="","",SUMIFS(PRODUCTION_REPORT!C:C,PRODUCTION_REPORT!B:B,A160))</f>
        <v/>
      </c>
      <c r="C160" t="str">
        <f>IF(A160="","",SUMIFS(SALES!E:E,SALES!D:D,A160))</f>
        <v/>
      </c>
      <c r="D160" t="str">
        <f t="shared" si="2"/>
        <v/>
      </c>
    </row>
    <row r="161" spans="1:4" x14ac:dyDescent="0.2">
      <c r="A161" t="str">
        <f>IF(MASTER_PRODUCTS!B161="","",MASTER_PRODUCTS!B161)</f>
        <v/>
      </c>
      <c r="B161" t="str">
        <f>IF(A161="","",SUMIFS(PRODUCTION_REPORT!C:C,PRODUCTION_REPORT!B:B,A161))</f>
        <v/>
      </c>
      <c r="C161" t="str">
        <f>IF(A161="","",SUMIFS(SALES!E:E,SALES!D:D,A161))</f>
        <v/>
      </c>
      <c r="D161" t="str">
        <f t="shared" si="2"/>
        <v/>
      </c>
    </row>
    <row r="162" spans="1:4" x14ac:dyDescent="0.2">
      <c r="A162" t="str">
        <f>IF(MASTER_PRODUCTS!B162="","",MASTER_PRODUCTS!B162)</f>
        <v/>
      </c>
      <c r="B162" t="str">
        <f>IF(A162="","",SUMIFS(PRODUCTION_REPORT!C:C,PRODUCTION_REPORT!B:B,A162))</f>
        <v/>
      </c>
      <c r="C162" t="str">
        <f>IF(A162="","",SUMIFS(SALES!E:E,SALES!D:D,A162))</f>
        <v/>
      </c>
      <c r="D162" t="str">
        <f t="shared" si="2"/>
        <v/>
      </c>
    </row>
    <row r="163" spans="1:4" x14ac:dyDescent="0.2">
      <c r="A163" t="str">
        <f>IF(MASTER_PRODUCTS!B163="","",MASTER_PRODUCTS!B163)</f>
        <v/>
      </c>
      <c r="B163" t="str">
        <f>IF(A163="","",SUMIFS(PRODUCTION_REPORT!C:C,PRODUCTION_REPORT!B:B,A163))</f>
        <v/>
      </c>
      <c r="C163" t="str">
        <f>IF(A163="","",SUMIFS(SALES!E:E,SALES!D:D,A163))</f>
        <v/>
      </c>
      <c r="D163" t="str">
        <f t="shared" si="2"/>
        <v/>
      </c>
    </row>
    <row r="164" spans="1:4" x14ac:dyDescent="0.2">
      <c r="A164" t="str">
        <f>IF(MASTER_PRODUCTS!B164="","",MASTER_PRODUCTS!B164)</f>
        <v/>
      </c>
      <c r="B164" t="str">
        <f>IF(A164="","",SUMIFS(PRODUCTION_REPORT!C:C,PRODUCTION_REPORT!B:B,A164))</f>
        <v/>
      </c>
      <c r="C164" t="str">
        <f>IF(A164="","",SUMIFS(SALES!E:E,SALES!D:D,A164))</f>
        <v/>
      </c>
      <c r="D164" t="str">
        <f t="shared" si="2"/>
        <v/>
      </c>
    </row>
    <row r="165" spans="1:4" x14ac:dyDescent="0.2">
      <c r="A165" t="str">
        <f>IF(MASTER_PRODUCTS!B165="","",MASTER_PRODUCTS!B165)</f>
        <v/>
      </c>
      <c r="B165" t="str">
        <f>IF(A165="","",SUMIFS(PRODUCTION_REPORT!C:C,PRODUCTION_REPORT!B:B,A165))</f>
        <v/>
      </c>
      <c r="C165" t="str">
        <f>IF(A165="","",SUMIFS(SALES!E:E,SALES!D:D,A165))</f>
        <v/>
      </c>
      <c r="D165" t="str">
        <f t="shared" si="2"/>
        <v/>
      </c>
    </row>
    <row r="166" spans="1:4" x14ac:dyDescent="0.2">
      <c r="A166" t="str">
        <f>IF(MASTER_PRODUCTS!B166="","",MASTER_PRODUCTS!B166)</f>
        <v/>
      </c>
      <c r="B166" t="str">
        <f>IF(A166="","",SUMIFS(PRODUCTION_REPORT!C:C,PRODUCTION_REPORT!B:B,A166))</f>
        <v/>
      </c>
      <c r="C166" t="str">
        <f>IF(A166="","",SUMIFS(SALES!E:E,SALES!D:D,A166))</f>
        <v/>
      </c>
      <c r="D166" t="str">
        <f t="shared" si="2"/>
        <v/>
      </c>
    </row>
    <row r="167" spans="1:4" x14ac:dyDescent="0.2">
      <c r="A167" t="str">
        <f>IF(MASTER_PRODUCTS!B167="","",MASTER_PRODUCTS!B167)</f>
        <v/>
      </c>
      <c r="B167" t="str">
        <f>IF(A167="","",SUMIFS(PRODUCTION_REPORT!C:C,PRODUCTION_REPORT!B:B,A167))</f>
        <v/>
      </c>
      <c r="C167" t="str">
        <f>IF(A167="","",SUMIFS(SALES!E:E,SALES!D:D,A167))</f>
        <v/>
      </c>
      <c r="D167" t="str">
        <f t="shared" si="2"/>
        <v/>
      </c>
    </row>
    <row r="168" spans="1:4" x14ac:dyDescent="0.2">
      <c r="A168" t="str">
        <f>IF(MASTER_PRODUCTS!B168="","",MASTER_PRODUCTS!B168)</f>
        <v/>
      </c>
      <c r="B168" t="str">
        <f>IF(A168="","",SUMIFS(PRODUCTION_REPORT!C:C,PRODUCTION_REPORT!B:B,A168))</f>
        <v/>
      </c>
      <c r="C168" t="str">
        <f>IF(A168="","",SUMIFS(SALES!E:E,SALES!D:D,A168))</f>
        <v/>
      </c>
      <c r="D168" t="str">
        <f t="shared" si="2"/>
        <v/>
      </c>
    </row>
    <row r="169" spans="1:4" x14ac:dyDescent="0.2">
      <c r="A169" t="str">
        <f>IF(MASTER_PRODUCTS!B169="","",MASTER_PRODUCTS!B169)</f>
        <v/>
      </c>
      <c r="B169" t="str">
        <f>IF(A169="","",SUMIFS(PRODUCTION_REPORT!C:C,PRODUCTION_REPORT!B:B,A169))</f>
        <v/>
      </c>
      <c r="C169" t="str">
        <f>IF(A169="","",SUMIFS(SALES!E:E,SALES!D:D,A169))</f>
        <v/>
      </c>
      <c r="D169" t="str">
        <f t="shared" si="2"/>
        <v/>
      </c>
    </row>
    <row r="170" spans="1:4" x14ac:dyDescent="0.2">
      <c r="A170" t="str">
        <f>IF(MASTER_PRODUCTS!B170="","",MASTER_PRODUCTS!B170)</f>
        <v/>
      </c>
      <c r="B170" t="str">
        <f>IF(A170="","",SUMIFS(PRODUCTION_REPORT!C:C,PRODUCTION_REPORT!B:B,A170))</f>
        <v/>
      </c>
      <c r="C170" t="str">
        <f>IF(A170="","",SUMIFS(SALES!E:E,SALES!D:D,A170))</f>
        <v/>
      </c>
      <c r="D170" t="str">
        <f t="shared" si="2"/>
        <v/>
      </c>
    </row>
    <row r="171" spans="1:4" x14ac:dyDescent="0.2">
      <c r="A171" t="str">
        <f>IF(MASTER_PRODUCTS!B171="","",MASTER_PRODUCTS!B171)</f>
        <v/>
      </c>
      <c r="B171" t="str">
        <f>IF(A171="","",SUMIFS(PRODUCTION_REPORT!C:C,PRODUCTION_REPORT!B:B,A171))</f>
        <v/>
      </c>
      <c r="C171" t="str">
        <f>IF(A171="","",SUMIFS(SALES!E:E,SALES!D:D,A171))</f>
        <v/>
      </c>
      <c r="D171" t="str">
        <f t="shared" si="2"/>
        <v/>
      </c>
    </row>
    <row r="172" spans="1:4" x14ac:dyDescent="0.2">
      <c r="A172" t="str">
        <f>IF(MASTER_PRODUCTS!B172="","",MASTER_PRODUCTS!B172)</f>
        <v/>
      </c>
      <c r="B172" t="str">
        <f>IF(A172="","",SUMIFS(PRODUCTION_REPORT!C:C,PRODUCTION_REPORT!B:B,A172))</f>
        <v/>
      </c>
      <c r="C172" t="str">
        <f>IF(A172="","",SUMIFS(SALES!E:E,SALES!D:D,A172))</f>
        <v/>
      </c>
      <c r="D172" t="str">
        <f t="shared" si="2"/>
        <v/>
      </c>
    </row>
    <row r="173" spans="1:4" x14ac:dyDescent="0.2">
      <c r="A173" t="str">
        <f>IF(MASTER_PRODUCTS!B173="","",MASTER_PRODUCTS!B173)</f>
        <v/>
      </c>
      <c r="B173" t="str">
        <f>IF(A173="","",SUMIFS(PRODUCTION_REPORT!C:C,PRODUCTION_REPORT!B:B,A173))</f>
        <v/>
      </c>
      <c r="C173" t="str">
        <f>IF(A173="","",SUMIFS(SALES!E:E,SALES!D:D,A173))</f>
        <v/>
      </c>
      <c r="D173" t="str">
        <f t="shared" si="2"/>
        <v/>
      </c>
    </row>
    <row r="174" spans="1:4" x14ac:dyDescent="0.2">
      <c r="A174" t="str">
        <f>IF(MASTER_PRODUCTS!B174="","",MASTER_PRODUCTS!B174)</f>
        <v/>
      </c>
      <c r="B174" t="str">
        <f>IF(A174="","",SUMIFS(PRODUCTION_REPORT!C:C,PRODUCTION_REPORT!B:B,A174))</f>
        <v/>
      </c>
      <c r="C174" t="str">
        <f>IF(A174="","",SUMIFS(SALES!E:E,SALES!D:D,A174))</f>
        <v/>
      </c>
      <c r="D174" t="str">
        <f t="shared" si="2"/>
        <v/>
      </c>
    </row>
    <row r="175" spans="1:4" x14ac:dyDescent="0.2">
      <c r="A175" t="str">
        <f>IF(MASTER_PRODUCTS!B175="","",MASTER_PRODUCTS!B175)</f>
        <v/>
      </c>
      <c r="B175" t="str">
        <f>IF(A175="","",SUMIFS(PRODUCTION_REPORT!C:C,PRODUCTION_REPORT!B:B,A175))</f>
        <v/>
      </c>
      <c r="C175" t="str">
        <f>IF(A175="","",SUMIFS(SALES!E:E,SALES!D:D,A175))</f>
        <v/>
      </c>
      <c r="D175" t="str">
        <f t="shared" si="2"/>
        <v/>
      </c>
    </row>
    <row r="176" spans="1:4" x14ac:dyDescent="0.2">
      <c r="A176" t="str">
        <f>IF(MASTER_PRODUCTS!B176="","",MASTER_PRODUCTS!B176)</f>
        <v/>
      </c>
      <c r="B176" t="str">
        <f>IF(A176="","",SUMIFS(PRODUCTION_REPORT!C:C,PRODUCTION_REPORT!B:B,A176))</f>
        <v/>
      </c>
      <c r="C176" t="str">
        <f>IF(A176="","",SUMIFS(SALES!E:E,SALES!D:D,A176))</f>
        <v/>
      </c>
      <c r="D176" t="str">
        <f t="shared" si="2"/>
        <v/>
      </c>
    </row>
    <row r="177" spans="1:4" x14ac:dyDescent="0.2">
      <c r="A177" t="str">
        <f>IF(MASTER_PRODUCTS!B177="","",MASTER_PRODUCTS!B177)</f>
        <v/>
      </c>
      <c r="B177" t="str">
        <f>IF(A177="","",SUMIFS(PRODUCTION_REPORT!C:C,PRODUCTION_REPORT!B:B,A177))</f>
        <v/>
      </c>
      <c r="C177" t="str">
        <f>IF(A177="","",SUMIFS(SALES!E:E,SALES!D:D,A177))</f>
        <v/>
      </c>
      <c r="D177" t="str">
        <f t="shared" si="2"/>
        <v/>
      </c>
    </row>
    <row r="178" spans="1:4" x14ac:dyDescent="0.2">
      <c r="A178" t="str">
        <f>IF(MASTER_PRODUCTS!B178="","",MASTER_PRODUCTS!B178)</f>
        <v/>
      </c>
      <c r="B178" t="str">
        <f>IF(A178="","",SUMIFS(PRODUCTION_REPORT!C:C,PRODUCTION_REPORT!B:B,A178))</f>
        <v/>
      </c>
      <c r="C178" t="str">
        <f>IF(A178="","",SUMIFS(SALES!E:E,SALES!D:D,A178))</f>
        <v/>
      </c>
      <c r="D178" t="str">
        <f t="shared" si="2"/>
        <v/>
      </c>
    </row>
    <row r="179" spans="1:4" x14ac:dyDescent="0.2">
      <c r="A179" t="str">
        <f>IF(MASTER_PRODUCTS!B179="","",MASTER_PRODUCTS!B179)</f>
        <v/>
      </c>
      <c r="B179" t="str">
        <f>IF(A179="","",SUMIFS(PRODUCTION_REPORT!C:C,PRODUCTION_REPORT!B:B,A179))</f>
        <v/>
      </c>
      <c r="C179" t="str">
        <f>IF(A179="","",SUMIFS(SALES!E:E,SALES!D:D,A179))</f>
        <v/>
      </c>
      <c r="D179" t="str">
        <f t="shared" si="2"/>
        <v/>
      </c>
    </row>
    <row r="180" spans="1:4" x14ac:dyDescent="0.2">
      <c r="A180" t="str">
        <f>IF(MASTER_PRODUCTS!B180="","",MASTER_PRODUCTS!B180)</f>
        <v/>
      </c>
      <c r="B180" t="str">
        <f>IF(A180="","",SUMIFS(PRODUCTION_REPORT!C:C,PRODUCTION_REPORT!B:B,A180))</f>
        <v/>
      </c>
      <c r="C180" t="str">
        <f>IF(A180="","",SUMIFS(SALES!E:E,SALES!D:D,A180))</f>
        <v/>
      </c>
      <c r="D180" t="str">
        <f t="shared" si="2"/>
        <v/>
      </c>
    </row>
    <row r="181" spans="1:4" x14ac:dyDescent="0.2">
      <c r="A181" t="str">
        <f>IF(MASTER_PRODUCTS!B181="","",MASTER_PRODUCTS!B181)</f>
        <v/>
      </c>
      <c r="B181" t="str">
        <f>IF(A181="","",SUMIFS(PRODUCTION_REPORT!C:C,PRODUCTION_REPORT!B:B,A181))</f>
        <v/>
      </c>
      <c r="C181" t="str">
        <f>IF(A181="","",SUMIFS(SALES!E:E,SALES!D:D,A181))</f>
        <v/>
      </c>
      <c r="D181" t="str">
        <f t="shared" si="2"/>
        <v/>
      </c>
    </row>
    <row r="182" spans="1:4" x14ac:dyDescent="0.2">
      <c r="A182" t="str">
        <f>IF(MASTER_PRODUCTS!B182="","",MASTER_PRODUCTS!B182)</f>
        <v/>
      </c>
      <c r="B182" t="str">
        <f>IF(A182="","",SUMIFS(PRODUCTION_REPORT!C:C,PRODUCTION_REPORT!B:B,A182))</f>
        <v/>
      </c>
      <c r="C182" t="str">
        <f>IF(A182="","",SUMIFS(SALES!E:E,SALES!D:D,A182))</f>
        <v/>
      </c>
      <c r="D182" t="str">
        <f t="shared" si="2"/>
        <v/>
      </c>
    </row>
    <row r="183" spans="1:4" x14ac:dyDescent="0.2">
      <c r="A183" t="str">
        <f>IF(MASTER_PRODUCTS!B183="","",MASTER_PRODUCTS!B183)</f>
        <v/>
      </c>
      <c r="B183" t="str">
        <f>IF(A183="","",SUMIFS(PRODUCTION_REPORT!C:C,PRODUCTION_REPORT!B:B,A183))</f>
        <v/>
      </c>
      <c r="C183" t="str">
        <f>IF(A183="","",SUMIFS(SALES!E:E,SALES!D:D,A183))</f>
        <v/>
      </c>
      <c r="D183" t="str">
        <f t="shared" si="2"/>
        <v/>
      </c>
    </row>
    <row r="184" spans="1:4" x14ac:dyDescent="0.2">
      <c r="A184" t="str">
        <f>IF(MASTER_PRODUCTS!B184="","",MASTER_PRODUCTS!B184)</f>
        <v/>
      </c>
      <c r="B184" t="str">
        <f>IF(A184="","",SUMIFS(PRODUCTION_REPORT!C:C,PRODUCTION_REPORT!B:B,A184))</f>
        <v/>
      </c>
      <c r="C184" t="str">
        <f>IF(A184="","",SUMIFS(SALES!E:E,SALES!D:D,A184))</f>
        <v/>
      </c>
      <c r="D184" t="str">
        <f t="shared" si="2"/>
        <v/>
      </c>
    </row>
    <row r="185" spans="1:4" x14ac:dyDescent="0.2">
      <c r="A185" t="str">
        <f>IF(MASTER_PRODUCTS!B185="","",MASTER_PRODUCTS!B185)</f>
        <v/>
      </c>
      <c r="B185" t="str">
        <f>IF(A185="","",SUMIFS(PRODUCTION_REPORT!C:C,PRODUCTION_REPORT!B:B,A185))</f>
        <v/>
      </c>
      <c r="C185" t="str">
        <f>IF(A185="","",SUMIFS(SALES!E:E,SALES!D:D,A185))</f>
        <v/>
      </c>
      <c r="D185" t="str">
        <f t="shared" si="2"/>
        <v/>
      </c>
    </row>
    <row r="186" spans="1:4" x14ac:dyDescent="0.2">
      <c r="A186" t="str">
        <f>IF(MASTER_PRODUCTS!B186="","",MASTER_PRODUCTS!B186)</f>
        <v/>
      </c>
      <c r="B186" t="str">
        <f>IF(A186="","",SUMIFS(PRODUCTION_REPORT!C:C,PRODUCTION_REPORT!B:B,A186))</f>
        <v/>
      </c>
      <c r="C186" t="str">
        <f>IF(A186="","",SUMIFS(SALES!E:E,SALES!D:D,A186))</f>
        <v/>
      </c>
      <c r="D186" t="str">
        <f t="shared" si="2"/>
        <v/>
      </c>
    </row>
    <row r="187" spans="1:4" x14ac:dyDescent="0.2">
      <c r="A187" t="str">
        <f>IF(MASTER_PRODUCTS!B187="","",MASTER_PRODUCTS!B187)</f>
        <v/>
      </c>
      <c r="B187" t="str">
        <f>IF(A187="","",SUMIFS(PRODUCTION_REPORT!C:C,PRODUCTION_REPORT!B:B,A187))</f>
        <v/>
      </c>
      <c r="C187" t="str">
        <f>IF(A187="","",SUMIFS(SALES!E:E,SALES!D:D,A187))</f>
        <v/>
      </c>
      <c r="D187" t="str">
        <f t="shared" si="2"/>
        <v/>
      </c>
    </row>
    <row r="188" spans="1:4" x14ac:dyDescent="0.2">
      <c r="A188" t="str">
        <f>IF(MASTER_PRODUCTS!B188="","",MASTER_PRODUCTS!B188)</f>
        <v/>
      </c>
      <c r="B188" t="str">
        <f>IF(A188="","",SUMIFS(PRODUCTION_REPORT!C:C,PRODUCTION_REPORT!B:B,A188))</f>
        <v/>
      </c>
      <c r="C188" t="str">
        <f>IF(A188="","",SUMIFS(SALES!E:E,SALES!D:D,A188))</f>
        <v/>
      </c>
      <c r="D188" t="str">
        <f t="shared" si="2"/>
        <v/>
      </c>
    </row>
    <row r="189" spans="1:4" x14ac:dyDescent="0.2">
      <c r="A189" t="str">
        <f>IF(MASTER_PRODUCTS!B189="","",MASTER_PRODUCTS!B189)</f>
        <v/>
      </c>
      <c r="B189" t="str">
        <f>IF(A189="","",SUMIFS(PRODUCTION_REPORT!C:C,PRODUCTION_REPORT!B:B,A189))</f>
        <v/>
      </c>
      <c r="C189" t="str">
        <f>IF(A189="","",SUMIFS(SALES!E:E,SALES!D:D,A189))</f>
        <v/>
      </c>
      <c r="D189" t="str">
        <f t="shared" si="2"/>
        <v/>
      </c>
    </row>
    <row r="190" spans="1:4" x14ac:dyDescent="0.2">
      <c r="A190" t="str">
        <f>IF(MASTER_PRODUCTS!B190="","",MASTER_PRODUCTS!B190)</f>
        <v/>
      </c>
      <c r="B190" t="str">
        <f>IF(A190="","",SUMIFS(PRODUCTION_REPORT!C:C,PRODUCTION_REPORT!B:B,A190))</f>
        <v/>
      </c>
      <c r="C190" t="str">
        <f>IF(A190="","",SUMIFS(SALES!E:E,SALES!D:D,A190))</f>
        <v/>
      </c>
      <c r="D190" t="str">
        <f t="shared" si="2"/>
        <v/>
      </c>
    </row>
    <row r="191" spans="1:4" x14ac:dyDescent="0.2">
      <c r="A191" t="str">
        <f>IF(MASTER_PRODUCTS!B191="","",MASTER_PRODUCTS!B191)</f>
        <v/>
      </c>
      <c r="B191" t="str">
        <f>IF(A191="","",SUMIFS(PRODUCTION_REPORT!C:C,PRODUCTION_REPORT!B:B,A191))</f>
        <v/>
      </c>
      <c r="C191" t="str">
        <f>IF(A191="","",SUMIFS(SALES!E:E,SALES!D:D,A191))</f>
        <v/>
      </c>
      <c r="D191" t="str">
        <f t="shared" si="2"/>
        <v/>
      </c>
    </row>
    <row r="192" spans="1:4" x14ac:dyDescent="0.2">
      <c r="A192" t="str">
        <f>IF(MASTER_PRODUCTS!B192="","",MASTER_PRODUCTS!B192)</f>
        <v/>
      </c>
      <c r="B192" t="str">
        <f>IF(A192="","",SUMIFS(PRODUCTION_REPORT!C:C,PRODUCTION_REPORT!B:B,A192))</f>
        <v/>
      </c>
      <c r="C192" t="str">
        <f>IF(A192="","",SUMIFS(SALES!E:E,SALES!D:D,A192))</f>
        <v/>
      </c>
      <c r="D192" t="str">
        <f t="shared" si="2"/>
        <v/>
      </c>
    </row>
    <row r="193" spans="1:4" x14ac:dyDescent="0.2">
      <c r="A193" t="str">
        <f>IF(MASTER_PRODUCTS!B193="","",MASTER_PRODUCTS!B193)</f>
        <v/>
      </c>
      <c r="B193" t="str">
        <f>IF(A193="","",SUMIFS(PRODUCTION_REPORT!C:C,PRODUCTION_REPORT!B:B,A193))</f>
        <v/>
      </c>
      <c r="C193" t="str">
        <f>IF(A193="","",SUMIFS(SALES!E:E,SALES!D:D,A193))</f>
        <v/>
      </c>
      <c r="D193" t="str">
        <f t="shared" si="2"/>
        <v/>
      </c>
    </row>
    <row r="194" spans="1:4" x14ac:dyDescent="0.2">
      <c r="A194" t="str">
        <f>IF(MASTER_PRODUCTS!B194="","",MASTER_PRODUCTS!B194)</f>
        <v/>
      </c>
      <c r="B194" t="str">
        <f>IF(A194="","",SUMIFS(PRODUCTION_REPORT!C:C,PRODUCTION_REPORT!B:B,A194))</f>
        <v/>
      </c>
      <c r="C194" t="str">
        <f>IF(A194="","",SUMIFS(SALES!E:E,SALES!D:D,A194))</f>
        <v/>
      </c>
      <c r="D194" t="str">
        <f t="shared" ref="D194:D257" si="3">IF(A194="","",B194-C194)</f>
        <v/>
      </c>
    </row>
    <row r="195" spans="1:4" x14ac:dyDescent="0.2">
      <c r="A195" t="str">
        <f>IF(MASTER_PRODUCTS!B195="","",MASTER_PRODUCTS!B195)</f>
        <v/>
      </c>
      <c r="B195" t="str">
        <f>IF(A195="","",SUMIFS(PRODUCTION_REPORT!C:C,PRODUCTION_REPORT!B:B,A195))</f>
        <v/>
      </c>
      <c r="C195" t="str">
        <f>IF(A195="","",SUMIFS(SALES!E:E,SALES!D:D,A195))</f>
        <v/>
      </c>
      <c r="D195" t="str">
        <f t="shared" si="3"/>
        <v/>
      </c>
    </row>
    <row r="196" spans="1:4" x14ac:dyDescent="0.2">
      <c r="A196" t="str">
        <f>IF(MASTER_PRODUCTS!B196="","",MASTER_PRODUCTS!B196)</f>
        <v/>
      </c>
      <c r="B196" t="str">
        <f>IF(A196="","",SUMIFS(PRODUCTION_REPORT!C:C,PRODUCTION_REPORT!B:B,A196))</f>
        <v/>
      </c>
      <c r="C196" t="str">
        <f>IF(A196="","",SUMIFS(SALES!E:E,SALES!D:D,A196))</f>
        <v/>
      </c>
      <c r="D196" t="str">
        <f t="shared" si="3"/>
        <v/>
      </c>
    </row>
    <row r="197" spans="1:4" x14ac:dyDescent="0.2">
      <c r="A197" t="str">
        <f>IF(MASTER_PRODUCTS!B197="","",MASTER_PRODUCTS!B197)</f>
        <v/>
      </c>
      <c r="B197" t="str">
        <f>IF(A197="","",SUMIFS(PRODUCTION_REPORT!C:C,PRODUCTION_REPORT!B:B,A197))</f>
        <v/>
      </c>
      <c r="C197" t="str">
        <f>IF(A197="","",SUMIFS(SALES!E:E,SALES!D:D,A197))</f>
        <v/>
      </c>
      <c r="D197" t="str">
        <f t="shared" si="3"/>
        <v/>
      </c>
    </row>
    <row r="198" spans="1:4" x14ac:dyDescent="0.2">
      <c r="A198" t="str">
        <f>IF(MASTER_PRODUCTS!B198="","",MASTER_PRODUCTS!B198)</f>
        <v/>
      </c>
      <c r="B198" t="str">
        <f>IF(A198="","",SUMIFS(PRODUCTION_REPORT!C:C,PRODUCTION_REPORT!B:B,A198))</f>
        <v/>
      </c>
      <c r="C198" t="str">
        <f>IF(A198="","",SUMIFS(SALES!E:E,SALES!D:D,A198))</f>
        <v/>
      </c>
      <c r="D198" t="str">
        <f t="shared" si="3"/>
        <v/>
      </c>
    </row>
    <row r="199" spans="1:4" x14ac:dyDescent="0.2">
      <c r="A199" t="str">
        <f>IF(MASTER_PRODUCTS!B199="","",MASTER_PRODUCTS!B199)</f>
        <v/>
      </c>
      <c r="B199" t="str">
        <f>IF(A199="","",SUMIFS(PRODUCTION_REPORT!C:C,PRODUCTION_REPORT!B:B,A199))</f>
        <v/>
      </c>
      <c r="C199" t="str">
        <f>IF(A199="","",SUMIFS(SALES!E:E,SALES!D:D,A199))</f>
        <v/>
      </c>
      <c r="D199" t="str">
        <f t="shared" si="3"/>
        <v/>
      </c>
    </row>
    <row r="200" spans="1:4" x14ac:dyDescent="0.2">
      <c r="A200" t="str">
        <f>IF(MASTER_PRODUCTS!B200="","",MASTER_PRODUCTS!B200)</f>
        <v/>
      </c>
      <c r="B200" t="str">
        <f>IF(A200="","",SUMIFS(PRODUCTION_REPORT!C:C,PRODUCTION_REPORT!B:B,A200))</f>
        <v/>
      </c>
      <c r="C200" t="str">
        <f>IF(A200="","",SUMIFS(SALES!E:E,SALES!D:D,A200))</f>
        <v/>
      </c>
      <c r="D200" t="str">
        <f t="shared" si="3"/>
        <v/>
      </c>
    </row>
    <row r="201" spans="1:4" x14ac:dyDescent="0.2">
      <c r="A201" t="str">
        <f>IF(MASTER_PRODUCTS!B201="","",MASTER_PRODUCTS!B201)</f>
        <v/>
      </c>
      <c r="B201" t="str">
        <f>IF(A201="","",SUMIFS(PRODUCTION_REPORT!C:C,PRODUCTION_REPORT!B:B,A201))</f>
        <v/>
      </c>
      <c r="C201" t="str">
        <f>IF(A201="","",SUMIFS(SALES!E:E,SALES!D:D,A201))</f>
        <v/>
      </c>
      <c r="D201" t="str">
        <f t="shared" si="3"/>
        <v/>
      </c>
    </row>
    <row r="202" spans="1:4" x14ac:dyDescent="0.2">
      <c r="A202" t="str">
        <f>IF(MASTER_PRODUCTS!B202="","",MASTER_PRODUCTS!B202)</f>
        <v/>
      </c>
      <c r="B202" t="str">
        <f>IF(A202="","",SUMIFS(PRODUCTION_REPORT!C:C,PRODUCTION_REPORT!B:B,A202))</f>
        <v/>
      </c>
      <c r="C202" t="str">
        <f>IF(A202="","",SUMIFS(SALES!E:E,SALES!D:D,A202))</f>
        <v/>
      </c>
      <c r="D202" t="str">
        <f t="shared" si="3"/>
        <v/>
      </c>
    </row>
    <row r="203" spans="1:4" x14ac:dyDescent="0.2">
      <c r="A203" t="str">
        <f>IF(MASTER_PRODUCTS!B203="","",MASTER_PRODUCTS!B203)</f>
        <v/>
      </c>
      <c r="B203" t="str">
        <f>IF(A203="","",SUMIFS(PRODUCTION_REPORT!C:C,PRODUCTION_REPORT!B:B,A203))</f>
        <v/>
      </c>
      <c r="C203" t="str">
        <f>IF(A203="","",SUMIFS(SALES!E:E,SALES!D:D,A203))</f>
        <v/>
      </c>
      <c r="D203" t="str">
        <f t="shared" si="3"/>
        <v/>
      </c>
    </row>
    <row r="204" spans="1:4" x14ac:dyDescent="0.2">
      <c r="A204" t="str">
        <f>IF(MASTER_PRODUCTS!B204="","",MASTER_PRODUCTS!B204)</f>
        <v/>
      </c>
      <c r="B204" t="str">
        <f>IF(A204="","",SUMIFS(PRODUCTION_REPORT!C:C,PRODUCTION_REPORT!B:B,A204))</f>
        <v/>
      </c>
      <c r="C204" t="str">
        <f>IF(A204="","",SUMIFS(SALES!E:E,SALES!D:D,A204))</f>
        <v/>
      </c>
      <c r="D204" t="str">
        <f t="shared" si="3"/>
        <v/>
      </c>
    </row>
    <row r="205" spans="1:4" x14ac:dyDescent="0.2">
      <c r="A205" t="str">
        <f>IF(MASTER_PRODUCTS!B205="","",MASTER_PRODUCTS!B205)</f>
        <v/>
      </c>
      <c r="B205" t="str">
        <f>IF(A205="","",SUMIFS(PRODUCTION_REPORT!C:C,PRODUCTION_REPORT!B:B,A205))</f>
        <v/>
      </c>
      <c r="C205" t="str">
        <f>IF(A205="","",SUMIFS(SALES!E:E,SALES!D:D,A205))</f>
        <v/>
      </c>
      <c r="D205" t="str">
        <f t="shared" si="3"/>
        <v/>
      </c>
    </row>
    <row r="206" spans="1:4" x14ac:dyDescent="0.2">
      <c r="A206" t="str">
        <f>IF(MASTER_PRODUCTS!B206="","",MASTER_PRODUCTS!B206)</f>
        <v/>
      </c>
      <c r="B206" t="str">
        <f>IF(A206="","",SUMIFS(PRODUCTION_REPORT!C:C,PRODUCTION_REPORT!B:B,A206))</f>
        <v/>
      </c>
      <c r="C206" t="str">
        <f>IF(A206="","",SUMIFS(SALES!E:E,SALES!D:D,A206))</f>
        <v/>
      </c>
      <c r="D206" t="str">
        <f t="shared" si="3"/>
        <v/>
      </c>
    </row>
    <row r="207" spans="1:4" x14ac:dyDescent="0.2">
      <c r="A207" t="str">
        <f>IF(MASTER_PRODUCTS!B207="","",MASTER_PRODUCTS!B207)</f>
        <v/>
      </c>
      <c r="B207" t="str">
        <f>IF(A207="","",SUMIFS(PRODUCTION_REPORT!C:C,PRODUCTION_REPORT!B:B,A207))</f>
        <v/>
      </c>
      <c r="C207" t="str">
        <f>IF(A207="","",SUMIFS(SALES!E:E,SALES!D:D,A207))</f>
        <v/>
      </c>
      <c r="D207" t="str">
        <f t="shared" si="3"/>
        <v/>
      </c>
    </row>
    <row r="208" spans="1:4" x14ac:dyDescent="0.2">
      <c r="A208" t="str">
        <f>IF(MASTER_PRODUCTS!B208="","",MASTER_PRODUCTS!B208)</f>
        <v/>
      </c>
      <c r="B208" t="str">
        <f>IF(A208="","",SUMIFS(PRODUCTION_REPORT!C:C,PRODUCTION_REPORT!B:B,A208))</f>
        <v/>
      </c>
      <c r="C208" t="str">
        <f>IF(A208="","",SUMIFS(SALES!E:E,SALES!D:D,A208))</f>
        <v/>
      </c>
      <c r="D208" t="str">
        <f t="shared" si="3"/>
        <v/>
      </c>
    </row>
    <row r="209" spans="1:4" x14ac:dyDescent="0.2">
      <c r="A209" t="str">
        <f>IF(MASTER_PRODUCTS!B209="","",MASTER_PRODUCTS!B209)</f>
        <v/>
      </c>
      <c r="B209" t="str">
        <f>IF(A209="","",SUMIFS(PRODUCTION_REPORT!C:C,PRODUCTION_REPORT!B:B,A209))</f>
        <v/>
      </c>
      <c r="C209" t="str">
        <f>IF(A209="","",SUMIFS(SALES!E:E,SALES!D:D,A209))</f>
        <v/>
      </c>
      <c r="D209" t="str">
        <f t="shared" si="3"/>
        <v/>
      </c>
    </row>
    <row r="210" spans="1:4" x14ac:dyDescent="0.2">
      <c r="A210" t="str">
        <f>IF(MASTER_PRODUCTS!B210="","",MASTER_PRODUCTS!B210)</f>
        <v/>
      </c>
      <c r="B210" t="str">
        <f>IF(A210="","",SUMIFS(PRODUCTION_REPORT!C:C,PRODUCTION_REPORT!B:B,A210))</f>
        <v/>
      </c>
      <c r="C210" t="str">
        <f>IF(A210="","",SUMIFS(SALES!E:E,SALES!D:D,A210))</f>
        <v/>
      </c>
      <c r="D210" t="str">
        <f t="shared" si="3"/>
        <v/>
      </c>
    </row>
    <row r="211" spans="1:4" x14ac:dyDescent="0.2">
      <c r="A211" t="str">
        <f>IF(MASTER_PRODUCTS!B211="","",MASTER_PRODUCTS!B211)</f>
        <v/>
      </c>
      <c r="B211" t="str">
        <f>IF(A211="","",SUMIFS(PRODUCTION_REPORT!C:C,PRODUCTION_REPORT!B:B,A211))</f>
        <v/>
      </c>
      <c r="C211" t="str">
        <f>IF(A211="","",SUMIFS(SALES!E:E,SALES!D:D,A211))</f>
        <v/>
      </c>
      <c r="D211" t="str">
        <f t="shared" si="3"/>
        <v/>
      </c>
    </row>
    <row r="212" spans="1:4" x14ac:dyDescent="0.2">
      <c r="A212" t="str">
        <f>IF(MASTER_PRODUCTS!B212="","",MASTER_PRODUCTS!B212)</f>
        <v/>
      </c>
      <c r="B212" t="str">
        <f>IF(A212="","",SUMIFS(PRODUCTION_REPORT!C:C,PRODUCTION_REPORT!B:B,A212))</f>
        <v/>
      </c>
      <c r="C212" t="str">
        <f>IF(A212="","",SUMIFS(SALES!E:E,SALES!D:D,A212))</f>
        <v/>
      </c>
      <c r="D212" t="str">
        <f t="shared" si="3"/>
        <v/>
      </c>
    </row>
    <row r="213" spans="1:4" x14ac:dyDescent="0.2">
      <c r="A213" t="str">
        <f>IF(MASTER_PRODUCTS!B213="","",MASTER_PRODUCTS!B213)</f>
        <v/>
      </c>
      <c r="B213" t="str">
        <f>IF(A213="","",SUMIFS(PRODUCTION_REPORT!C:C,PRODUCTION_REPORT!B:B,A213))</f>
        <v/>
      </c>
      <c r="C213" t="str">
        <f>IF(A213="","",SUMIFS(SALES!E:E,SALES!D:D,A213))</f>
        <v/>
      </c>
      <c r="D213" t="str">
        <f t="shared" si="3"/>
        <v/>
      </c>
    </row>
    <row r="214" spans="1:4" x14ac:dyDescent="0.2">
      <c r="A214" t="str">
        <f>IF(MASTER_PRODUCTS!B214="","",MASTER_PRODUCTS!B214)</f>
        <v/>
      </c>
      <c r="B214" t="str">
        <f>IF(A214="","",SUMIFS(PRODUCTION_REPORT!C:C,PRODUCTION_REPORT!B:B,A214))</f>
        <v/>
      </c>
      <c r="C214" t="str">
        <f>IF(A214="","",SUMIFS(SALES!E:E,SALES!D:D,A214))</f>
        <v/>
      </c>
      <c r="D214" t="str">
        <f t="shared" si="3"/>
        <v/>
      </c>
    </row>
    <row r="215" spans="1:4" x14ac:dyDescent="0.2">
      <c r="A215" t="str">
        <f>IF(MASTER_PRODUCTS!B215="","",MASTER_PRODUCTS!B215)</f>
        <v/>
      </c>
      <c r="B215" t="str">
        <f>IF(A215="","",SUMIFS(PRODUCTION_REPORT!C:C,PRODUCTION_REPORT!B:B,A215))</f>
        <v/>
      </c>
      <c r="C215" t="str">
        <f>IF(A215="","",SUMIFS(SALES!E:E,SALES!D:D,A215))</f>
        <v/>
      </c>
      <c r="D215" t="str">
        <f t="shared" si="3"/>
        <v/>
      </c>
    </row>
    <row r="216" spans="1:4" x14ac:dyDescent="0.2">
      <c r="A216" t="str">
        <f>IF(MASTER_PRODUCTS!B216="","",MASTER_PRODUCTS!B216)</f>
        <v/>
      </c>
      <c r="B216" t="str">
        <f>IF(A216="","",SUMIFS(PRODUCTION_REPORT!C:C,PRODUCTION_REPORT!B:B,A216))</f>
        <v/>
      </c>
      <c r="C216" t="str">
        <f>IF(A216="","",SUMIFS(SALES!E:E,SALES!D:D,A216))</f>
        <v/>
      </c>
      <c r="D216" t="str">
        <f t="shared" si="3"/>
        <v/>
      </c>
    </row>
    <row r="217" spans="1:4" x14ac:dyDescent="0.2">
      <c r="A217" t="str">
        <f>IF(MASTER_PRODUCTS!B217="","",MASTER_PRODUCTS!B217)</f>
        <v/>
      </c>
      <c r="B217" t="str">
        <f>IF(A217="","",SUMIFS(PRODUCTION_REPORT!C:C,PRODUCTION_REPORT!B:B,A217))</f>
        <v/>
      </c>
      <c r="C217" t="str">
        <f>IF(A217="","",SUMIFS(SALES!E:E,SALES!D:D,A217))</f>
        <v/>
      </c>
      <c r="D217" t="str">
        <f t="shared" si="3"/>
        <v/>
      </c>
    </row>
    <row r="218" spans="1:4" x14ac:dyDescent="0.2">
      <c r="A218" t="str">
        <f>IF(MASTER_PRODUCTS!B218="","",MASTER_PRODUCTS!B218)</f>
        <v/>
      </c>
      <c r="B218" t="str">
        <f>IF(A218="","",SUMIFS(PRODUCTION_REPORT!C:C,PRODUCTION_REPORT!B:B,A218))</f>
        <v/>
      </c>
      <c r="C218" t="str">
        <f>IF(A218="","",SUMIFS(SALES!E:E,SALES!D:D,A218))</f>
        <v/>
      </c>
      <c r="D218" t="str">
        <f t="shared" si="3"/>
        <v/>
      </c>
    </row>
    <row r="219" spans="1:4" x14ac:dyDescent="0.2">
      <c r="A219" t="str">
        <f>IF(MASTER_PRODUCTS!B219="","",MASTER_PRODUCTS!B219)</f>
        <v/>
      </c>
      <c r="B219" t="str">
        <f>IF(A219="","",SUMIFS(PRODUCTION_REPORT!C:C,PRODUCTION_REPORT!B:B,A219))</f>
        <v/>
      </c>
      <c r="C219" t="str">
        <f>IF(A219="","",SUMIFS(SALES!E:E,SALES!D:D,A219))</f>
        <v/>
      </c>
      <c r="D219" t="str">
        <f t="shared" si="3"/>
        <v/>
      </c>
    </row>
    <row r="220" spans="1:4" x14ac:dyDescent="0.2">
      <c r="A220" t="str">
        <f>IF(MASTER_PRODUCTS!B220="","",MASTER_PRODUCTS!B220)</f>
        <v/>
      </c>
      <c r="B220" t="str">
        <f>IF(A220="","",SUMIFS(PRODUCTION_REPORT!C:C,PRODUCTION_REPORT!B:B,A220))</f>
        <v/>
      </c>
      <c r="C220" t="str">
        <f>IF(A220="","",SUMIFS(SALES!E:E,SALES!D:D,A220))</f>
        <v/>
      </c>
      <c r="D220" t="str">
        <f t="shared" si="3"/>
        <v/>
      </c>
    </row>
    <row r="221" spans="1:4" x14ac:dyDescent="0.2">
      <c r="A221" t="str">
        <f>IF(MASTER_PRODUCTS!B221="","",MASTER_PRODUCTS!B221)</f>
        <v/>
      </c>
      <c r="B221" t="str">
        <f>IF(A221="","",SUMIFS(PRODUCTION_REPORT!C:C,PRODUCTION_REPORT!B:B,A221))</f>
        <v/>
      </c>
      <c r="C221" t="str">
        <f>IF(A221="","",SUMIFS(SALES!E:E,SALES!D:D,A221))</f>
        <v/>
      </c>
      <c r="D221" t="str">
        <f t="shared" si="3"/>
        <v/>
      </c>
    </row>
    <row r="222" spans="1:4" x14ac:dyDescent="0.2">
      <c r="A222" t="str">
        <f>IF(MASTER_PRODUCTS!B222="","",MASTER_PRODUCTS!B222)</f>
        <v/>
      </c>
      <c r="B222" t="str">
        <f>IF(A222="","",SUMIFS(PRODUCTION_REPORT!C:C,PRODUCTION_REPORT!B:B,A222))</f>
        <v/>
      </c>
      <c r="C222" t="str">
        <f>IF(A222="","",SUMIFS(SALES!E:E,SALES!D:D,A222))</f>
        <v/>
      </c>
      <c r="D222" t="str">
        <f t="shared" si="3"/>
        <v/>
      </c>
    </row>
    <row r="223" spans="1:4" x14ac:dyDescent="0.2">
      <c r="A223" t="str">
        <f>IF(MASTER_PRODUCTS!B223="","",MASTER_PRODUCTS!B223)</f>
        <v/>
      </c>
      <c r="B223" t="str">
        <f>IF(A223="","",SUMIFS(PRODUCTION_REPORT!C:C,PRODUCTION_REPORT!B:B,A223))</f>
        <v/>
      </c>
      <c r="C223" t="str">
        <f>IF(A223="","",SUMIFS(SALES!E:E,SALES!D:D,A223))</f>
        <v/>
      </c>
      <c r="D223" t="str">
        <f t="shared" si="3"/>
        <v/>
      </c>
    </row>
    <row r="224" spans="1:4" x14ac:dyDescent="0.2">
      <c r="A224" t="str">
        <f>IF(MASTER_PRODUCTS!B224="","",MASTER_PRODUCTS!B224)</f>
        <v/>
      </c>
      <c r="B224" t="str">
        <f>IF(A224="","",SUMIFS(PRODUCTION_REPORT!C:C,PRODUCTION_REPORT!B:B,A224))</f>
        <v/>
      </c>
      <c r="C224" t="str">
        <f>IF(A224="","",SUMIFS(SALES!E:E,SALES!D:D,A224))</f>
        <v/>
      </c>
      <c r="D224" t="str">
        <f t="shared" si="3"/>
        <v/>
      </c>
    </row>
    <row r="225" spans="1:4" x14ac:dyDescent="0.2">
      <c r="A225" t="str">
        <f>IF(MASTER_PRODUCTS!B225="","",MASTER_PRODUCTS!B225)</f>
        <v/>
      </c>
      <c r="B225" t="str">
        <f>IF(A225="","",SUMIFS(PRODUCTION_REPORT!C:C,PRODUCTION_REPORT!B:B,A225))</f>
        <v/>
      </c>
      <c r="C225" t="str">
        <f>IF(A225="","",SUMIFS(SALES!E:E,SALES!D:D,A225))</f>
        <v/>
      </c>
      <c r="D225" t="str">
        <f t="shared" si="3"/>
        <v/>
      </c>
    </row>
    <row r="226" spans="1:4" x14ac:dyDescent="0.2">
      <c r="A226" t="str">
        <f>IF(MASTER_PRODUCTS!B226="","",MASTER_PRODUCTS!B226)</f>
        <v/>
      </c>
      <c r="B226" t="str">
        <f>IF(A226="","",SUMIFS(PRODUCTION_REPORT!C:C,PRODUCTION_REPORT!B:B,A226))</f>
        <v/>
      </c>
      <c r="C226" t="str">
        <f>IF(A226="","",SUMIFS(SALES!E:E,SALES!D:D,A226))</f>
        <v/>
      </c>
      <c r="D226" t="str">
        <f t="shared" si="3"/>
        <v/>
      </c>
    </row>
    <row r="227" spans="1:4" x14ac:dyDescent="0.2">
      <c r="A227" t="str">
        <f>IF(MASTER_PRODUCTS!B227="","",MASTER_PRODUCTS!B227)</f>
        <v/>
      </c>
      <c r="B227" t="str">
        <f>IF(A227="","",SUMIFS(PRODUCTION_REPORT!C:C,PRODUCTION_REPORT!B:B,A227))</f>
        <v/>
      </c>
      <c r="C227" t="str">
        <f>IF(A227="","",SUMIFS(SALES!E:E,SALES!D:D,A227))</f>
        <v/>
      </c>
      <c r="D227" t="str">
        <f t="shared" si="3"/>
        <v/>
      </c>
    </row>
    <row r="228" spans="1:4" x14ac:dyDescent="0.2">
      <c r="A228" t="str">
        <f>IF(MASTER_PRODUCTS!B228="","",MASTER_PRODUCTS!B228)</f>
        <v/>
      </c>
      <c r="B228" t="str">
        <f>IF(A228="","",SUMIFS(PRODUCTION_REPORT!C:C,PRODUCTION_REPORT!B:B,A228))</f>
        <v/>
      </c>
      <c r="C228" t="str">
        <f>IF(A228="","",SUMIFS(SALES!E:E,SALES!D:D,A228))</f>
        <v/>
      </c>
      <c r="D228" t="str">
        <f t="shared" si="3"/>
        <v/>
      </c>
    </row>
    <row r="229" spans="1:4" x14ac:dyDescent="0.2">
      <c r="A229" t="str">
        <f>IF(MASTER_PRODUCTS!B229="","",MASTER_PRODUCTS!B229)</f>
        <v/>
      </c>
      <c r="B229" t="str">
        <f>IF(A229="","",SUMIFS(PRODUCTION_REPORT!C:C,PRODUCTION_REPORT!B:B,A229))</f>
        <v/>
      </c>
      <c r="C229" t="str">
        <f>IF(A229="","",SUMIFS(SALES!E:E,SALES!D:D,A229))</f>
        <v/>
      </c>
      <c r="D229" t="str">
        <f t="shared" si="3"/>
        <v/>
      </c>
    </row>
    <row r="230" spans="1:4" x14ac:dyDescent="0.2">
      <c r="A230" t="str">
        <f>IF(MASTER_PRODUCTS!B230="","",MASTER_PRODUCTS!B230)</f>
        <v/>
      </c>
      <c r="B230" t="str">
        <f>IF(A230="","",SUMIFS(PRODUCTION_REPORT!C:C,PRODUCTION_REPORT!B:B,A230))</f>
        <v/>
      </c>
      <c r="C230" t="str">
        <f>IF(A230="","",SUMIFS(SALES!E:E,SALES!D:D,A230))</f>
        <v/>
      </c>
      <c r="D230" t="str">
        <f t="shared" si="3"/>
        <v/>
      </c>
    </row>
    <row r="231" spans="1:4" x14ac:dyDescent="0.2">
      <c r="A231" t="str">
        <f>IF(MASTER_PRODUCTS!B231="","",MASTER_PRODUCTS!B231)</f>
        <v/>
      </c>
      <c r="B231" t="str">
        <f>IF(A231="","",SUMIFS(PRODUCTION_REPORT!C:C,PRODUCTION_REPORT!B:B,A231))</f>
        <v/>
      </c>
      <c r="C231" t="str">
        <f>IF(A231="","",SUMIFS(SALES!E:E,SALES!D:D,A231))</f>
        <v/>
      </c>
      <c r="D231" t="str">
        <f t="shared" si="3"/>
        <v/>
      </c>
    </row>
    <row r="232" spans="1:4" x14ac:dyDescent="0.2">
      <c r="A232" t="str">
        <f>IF(MASTER_PRODUCTS!B232="","",MASTER_PRODUCTS!B232)</f>
        <v/>
      </c>
      <c r="B232" t="str">
        <f>IF(A232="","",SUMIFS(PRODUCTION_REPORT!C:C,PRODUCTION_REPORT!B:B,A232))</f>
        <v/>
      </c>
      <c r="C232" t="str">
        <f>IF(A232="","",SUMIFS(SALES!E:E,SALES!D:D,A232))</f>
        <v/>
      </c>
      <c r="D232" t="str">
        <f t="shared" si="3"/>
        <v/>
      </c>
    </row>
    <row r="233" spans="1:4" x14ac:dyDescent="0.2">
      <c r="A233" t="str">
        <f>IF(MASTER_PRODUCTS!B233="","",MASTER_PRODUCTS!B233)</f>
        <v/>
      </c>
      <c r="B233" t="str">
        <f>IF(A233="","",SUMIFS(PRODUCTION_REPORT!C:C,PRODUCTION_REPORT!B:B,A233))</f>
        <v/>
      </c>
      <c r="C233" t="str">
        <f>IF(A233="","",SUMIFS(SALES!E:E,SALES!D:D,A233))</f>
        <v/>
      </c>
      <c r="D233" t="str">
        <f t="shared" si="3"/>
        <v/>
      </c>
    </row>
    <row r="234" spans="1:4" x14ac:dyDescent="0.2">
      <c r="A234" t="str">
        <f>IF(MASTER_PRODUCTS!B234="","",MASTER_PRODUCTS!B234)</f>
        <v/>
      </c>
      <c r="B234" t="str">
        <f>IF(A234="","",SUMIFS(PRODUCTION_REPORT!C:C,PRODUCTION_REPORT!B:B,A234))</f>
        <v/>
      </c>
      <c r="C234" t="str">
        <f>IF(A234="","",SUMIFS(SALES!E:E,SALES!D:D,A234))</f>
        <v/>
      </c>
      <c r="D234" t="str">
        <f t="shared" si="3"/>
        <v/>
      </c>
    </row>
    <row r="235" spans="1:4" x14ac:dyDescent="0.2">
      <c r="A235" t="str">
        <f>IF(MASTER_PRODUCTS!B235="","",MASTER_PRODUCTS!B235)</f>
        <v/>
      </c>
      <c r="B235" t="str">
        <f>IF(A235="","",SUMIFS(PRODUCTION_REPORT!C:C,PRODUCTION_REPORT!B:B,A235))</f>
        <v/>
      </c>
      <c r="C235" t="str">
        <f>IF(A235="","",SUMIFS(SALES!E:E,SALES!D:D,A235))</f>
        <v/>
      </c>
      <c r="D235" t="str">
        <f t="shared" si="3"/>
        <v/>
      </c>
    </row>
    <row r="236" spans="1:4" x14ac:dyDescent="0.2">
      <c r="A236" t="str">
        <f>IF(MASTER_PRODUCTS!B236="","",MASTER_PRODUCTS!B236)</f>
        <v/>
      </c>
      <c r="B236" t="str">
        <f>IF(A236="","",SUMIFS(PRODUCTION_REPORT!C:C,PRODUCTION_REPORT!B:B,A236))</f>
        <v/>
      </c>
      <c r="C236" t="str">
        <f>IF(A236="","",SUMIFS(SALES!E:E,SALES!D:D,A236))</f>
        <v/>
      </c>
      <c r="D236" t="str">
        <f t="shared" si="3"/>
        <v/>
      </c>
    </row>
    <row r="237" spans="1:4" x14ac:dyDescent="0.2">
      <c r="A237" t="str">
        <f>IF(MASTER_PRODUCTS!B237="","",MASTER_PRODUCTS!B237)</f>
        <v/>
      </c>
      <c r="B237" t="str">
        <f>IF(A237="","",SUMIFS(PRODUCTION_REPORT!C:C,PRODUCTION_REPORT!B:B,A237))</f>
        <v/>
      </c>
      <c r="C237" t="str">
        <f>IF(A237="","",SUMIFS(SALES!E:E,SALES!D:D,A237))</f>
        <v/>
      </c>
      <c r="D237" t="str">
        <f t="shared" si="3"/>
        <v/>
      </c>
    </row>
    <row r="238" spans="1:4" x14ac:dyDescent="0.2">
      <c r="A238" t="str">
        <f>IF(MASTER_PRODUCTS!B238="","",MASTER_PRODUCTS!B238)</f>
        <v/>
      </c>
      <c r="B238" t="str">
        <f>IF(A238="","",SUMIFS(PRODUCTION_REPORT!C:C,PRODUCTION_REPORT!B:B,A238))</f>
        <v/>
      </c>
      <c r="C238" t="str">
        <f>IF(A238="","",SUMIFS(SALES!E:E,SALES!D:D,A238))</f>
        <v/>
      </c>
      <c r="D238" t="str">
        <f t="shared" si="3"/>
        <v/>
      </c>
    </row>
    <row r="239" spans="1:4" x14ac:dyDescent="0.2">
      <c r="A239" t="str">
        <f>IF(MASTER_PRODUCTS!B239="","",MASTER_PRODUCTS!B239)</f>
        <v/>
      </c>
      <c r="B239" t="str">
        <f>IF(A239="","",SUMIFS(PRODUCTION_REPORT!C:C,PRODUCTION_REPORT!B:B,A239))</f>
        <v/>
      </c>
      <c r="C239" t="str">
        <f>IF(A239="","",SUMIFS(SALES!E:E,SALES!D:D,A239))</f>
        <v/>
      </c>
      <c r="D239" t="str">
        <f t="shared" si="3"/>
        <v/>
      </c>
    </row>
    <row r="240" spans="1:4" x14ac:dyDescent="0.2">
      <c r="A240" t="str">
        <f>IF(MASTER_PRODUCTS!B240="","",MASTER_PRODUCTS!B240)</f>
        <v/>
      </c>
      <c r="B240" t="str">
        <f>IF(A240="","",SUMIFS(PRODUCTION_REPORT!C:C,PRODUCTION_REPORT!B:B,A240))</f>
        <v/>
      </c>
      <c r="C240" t="str">
        <f>IF(A240="","",SUMIFS(SALES!E:E,SALES!D:D,A240))</f>
        <v/>
      </c>
      <c r="D240" t="str">
        <f t="shared" si="3"/>
        <v/>
      </c>
    </row>
    <row r="241" spans="1:4" x14ac:dyDescent="0.2">
      <c r="A241" t="str">
        <f>IF(MASTER_PRODUCTS!B241="","",MASTER_PRODUCTS!B241)</f>
        <v/>
      </c>
      <c r="B241" t="str">
        <f>IF(A241="","",SUMIFS(PRODUCTION_REPORT!C:C,PRODUCTION_REPORT!B:B,A241))</f>
        <v/>
      </c>
      <c r="C241" t="str">
        <f>IF(A241="","",SUMIFS(SALES!E:E,SALES!D:D,A241))</f>
        <v/>
      </c>
      <c r="D241" t="str">
        <f t="shared" si="3"/>
        <v/>
      </c>
    </row>
    <row r="242" spans="1:4" x14ac:dyDescent="0.2">
      <c r="A242" t="str">
        <f>IF(MASTER_PRODUCTS!B242="","",MASTER_PRODUCTS!B242)</f>
        <v/>
      </c>
      <c r="B242" t="str">
        <f>IF(A242="","",SUMIFS(PRODUCTION_REPORT!C:C,PRODUCTION_REPORT!B:B,A242))</f>
        <v/>
      </c>
      <c r="C242" t="str">
        <f>IF(A242="","",SUMIFS(SALES!E:E,SALES!D:D,A242))</f>
        <v/>
      </c>
      <c r="D242" t="str">
        <f t="shared" si="3"/>
        <v/>
      </c>
    </row>
    <row r="243" spans="1:4" x14ac:dyDescent="0.2">
      <c r="A243" t="str">
        <f>IF(MASTER_PRODUCTS!B243="","",MASTER_PRODUCTS!B243)</f>
        <v/>
      </c>
      <c r="B243" t="str">
        <f>IF(A243="","",SUMIFS(PRODUCTION_REPORT!C:C,PRODUCTION_REPORT!B:B,A243))</f>
        <v/>
      </c>
      <c r="C243" t="str">
        <f>IF(A243="","",SUMIFS(SALES!E:E,SALES!D:D,A243))</f>
        <v/>
      </c>
      <c r="D243" t="str">
        <f t="shared" si="3"/>
        <v/>
      </c>
    </row>
    <row r="244" spans="1:4" x14ac:dyDescent="0.2">
      <c r="A244" t="str">
        <f>IF(MASTER_PRODUCTS!B244="","",MASTER_PRODUCTS!B244)</f>
        <v/>
      </c>
      <c r="B244" t="str">
        <f>IF(A244="","",SUMIFS(PRODUCTION_REPORT!C:C,PRODUCTION_REPORT!B:B,A244))</f>
        <v/>
      </c>
      <c r="C244" t="str">
        <f>IF(A244="","",SUMIFS(SALES!E:E,SALES!D:D,A244))</f>
        <v/>
      </c>
      <c r="D244" t="str">
        <f t="shared" si="3"/>
        <v/>
      </c>
    </row>
    <row r="245" spans="1:4" x14ac:dyDescent="0.2">
      <c r="A245" t="str">
        <f>IF(MASTER_PRODUCTS!B245="","",MASTER_PRODUCTS!B245)</f>
        <v/>
      </c>
      <c r="B245" t="str">
        <f>IF(A245="","",SUMIFS(PRODUCTION_REPORT!C:C,PRODUCTION_REPORT!B:B,A245))</f>
        <v/>
      </c>
      <c r="C245" t="str">
        <f>IF(A245="","",SUMIFS(SALES!E:E,SALES!D:D,A245))</f>
        <v/>
      </c>
      <c r="D245" t="str">
        <f t="shared" si="3"/>
        <v/>
      </c>
    </row>
    <row r="246" spans="1:4" x14ac:dyDescent="0.2">
      <c r="A246" t="str">
        <f>IF(MASTER_PRODUCTS!B246="","",MASTER_PRODUCTS!B246)</f>
        <v/>
      </c>
      <c r="B246" t="str">
        <f>IF(A246="","",SUMIFS(PRODUCTION_REPORT!C:C,PRODUCTION_REPORT!B:B,A246))</f>
        <v/>
      </c>
      <c r="C246" t="str">
        <f>IF(A246="","",SUMIFS(SALES!E:E,SALES!D:D,A246))</f>
        <v/>
      </c>
      <c r="D246" t="str">
        <f t="shared" si="3"/>
        <v/>
      </c>
    </row>
    <row r="247" spans="1:4" x14ac:dyDescent="0.2">
      <c r="A247" t="str">
        <f>IF(MASTER_PRODUCTS!B247="","",MASTER_PRODUCTS!B247)</f>
        <v/>
      </c>
      <c r="B247" t="str">
        <f>IF(A247="","",SUMIFS(PRODUCTION_REPORT!C:C,PRODUCTION_REPORT!B:B,A247))</f>
        <v/>
      </c>
      <c r="C247" t="str">
        <f>IF(A247="","",SUMIFS(SALES!E:E,SALES!D:D,A247))</f>
        <v/>
      </c>
      <c r="D247" t="str">
        <f t="shared" si="3"/>
        <v/>
      </c>
    </row>
    <row r="248" spans="1:4" x14ac:dyDescent="0.2">
      <c r="A248" t="str">
        <f>IF(MASTER_PRODUCTS!B248="","",MASTER_PRODUCTS!B248)</f>
        <v/>
      </c>
      <c r="B248" t="str">
        <f>IF(A248="","",SUMIFS(PRODUCTION_REPORT!C:C,PRODUCTION_REPORT!B:B,A248))</f>
        <v/>
      </c>
      <c r="C248" t="str">
        <f>IF(A248="","",SUMIFS(SALES!E:E,SALES!D:D,A248))</f>
        <v/>
      </c>
      <c r="D248" t="str">
        <f t="shared" si="3"/>
        <v/>
      </c>
    </row>
    <row r="249" spans="1:4" x14ac:dyDescent="0.2">
      <c r="A249" t="str">
        <f>IF(MASTER_PRODUCTS!B249="","",MASTER_PRODUCTS!B249)</f>
        <v/>
      </c>
      <c r="B249" t="str">
        <f>IF(A249="","",SUMIFS(PRODUCTION_REPORT!C:C,PRODUCTION_REPORT!B:B,A249))</f>
        <v/>
      </c>
      <c r="C249" t="str">
        <f>IF(A249="","",SUMIFS(SALES!E:E,SALES!D:D,A249))</f>
        <v/>
      </c>
      <c r="D249" t="str">
        <f t="shared" si="3"/>
        <v/>
      </c>
    </row>
    <row r="250" spans="1:4" x14ac:dyDescent="0.2">
      <c r="A250" t="str">
        <f>IF(MASTER_PRODUCTS!B250="","",MASTER_PRODUCTS!B250)</f>
        <v/>
      </c>
      <c r="B250" t="str">
        <f>IF(A250="","",SUMIFS(PRODUCTION_REPORT!C:C,PRODUCTION_REPORT!B:B,A250))</f>
        <v/>
      </c>
      <c r="C250" t="str">
        <f>IF(A250="","",SUMIFS(SALES!E:E,SALES!D:D,A250))</f>
        <v/>
      </c>
      <c r="D250" t="str">
        <f t="shared" si="3"/>
        <v/>
      </c>
    </row>
    <row r="251" spans="1:4" x14ac:dyDescent="0.2">
      <c r="A251" t="str">
        <f>IF(MASTER_PRODUCTS!B251="","",MASTER_PRODUCTS!B251)</f>
        <v/>
      </c>
      <c r="B251" t="str">
        <f>IF(A251="","",SUMIFS(PRODUCTION_REPORT!C:C,PRODUCTION_REPORT!B:B,A251))</f>
        <v/>
      </c>
      <c r="C251" t="str">
        <f>IF(A251="","",SUMIFS(SALES!E:E,SALES!D:D,A251))</f>
        <v/>
      </c>
      <c r="D251" t="str">
        <f t="shared" si="3"/>
        <v/>
      </c>
    </row>
    <row r="252" spans="1:4" x14ac:dyDescent="0.2">
      <c r="A252" t="str">
        <f>IF(MASTER_PRODUCTS!B252="","",MASTER_PRODUCTS!B252)</f>
        <v/>
      </c>
      <c r="B252" t="str">
        <f>IF(A252="","",SUMIFS(PRODUCTION_REPORT!C:C,PRODUCTION_REPORT!B:B,A252))</f>
        <v/>
      </c>
      <c r="C252" t="str">
        <f>IF(A252="","",SUMIFS(SALES!E:E,SALES!D:D,A252))</f>
        <v/>
      </c>
      <c r="D252" t="str">
        <f t="shared" si="3"/>
        <v/>
      </c>
    </row>
    <row r="253" spans="1:4" x14ac:dyDescent="0.2">
      <c r="A253" t="str">
        <f>IF(MASTER_PRODUCTS!B253="","",MASTER_PRODUCTS!B253)</f>
        <v/>
      </c>
      <c r="B253" t="str">
        <f>IF(A253="","",SUMIFS(PRODUCTION_REPORT!C:C,PRODUCTION_REPORT!B:B,A253))</f>
        <v/>
      </c>
      <c r="C253" t="str">
        <f>IF(A253="","",SUMIFS(SALES!E:E,SALES!D:D,A253))</f>
        <v/>
      </c>
      <c r="D253" t="str">
        <f t="shared" si="3"/>
        <v/>
      </c>
    </row>
    <row r="254" spans="1:4" x14ac:dyDescent="0.2">
      <c r="A254" t="str">
        <f>IF(MASTER_PRODUCTS!B254="","",MASTER_PRODUCTS!B254)</f>
        <v/>
      </c>
      <c r="B254" t="str">
        <f>IF(A254="","",SUMIFS(PRODUCTION_REPORT!C:C,PRODUCTION_REPORT!B:B,A254))</f>
        <v/>
      </c>
      <c r="C254" t="str">
        <f>IF(A254="","",SUMIFS(SALES!E:E,SALES!D:D,A254))</f>
        <v/>
      </c>
      <c r="D254" t="str">
        <f t="shared" si="3"/>
        <v/>
      </c>
    </row>
    <row r="255" spans="1:4" x14ac:dyDescent="0.2">
      <c r="A255" t="str">
        <f>IF(MASTER_PRODUCTS!B255="","",MASTER_PRODUCTS!B255)</f>
        <v/>
      </c>
      <c r="B255" t="str">
        <f>IF(A255="","",SUMIFS(PRODUCTION_REPORT!C:C,PRODUCTION_REPORT!B:B,A255))</f>
        <v/>
      </c>
      <c r="C255" t="str">
        <f>IF(A255="","",SUMIFS(SALES!E:E,SALES!D:D,A255))</f>
        <v/>
      </c>
      <c r="D255" t="str">
        <f t="shared" si="3"/>
        <v/>
      </c>
    </row>
    <row r="256" spans="1:4" x14ac:dyDescent="0.2">
      <c r="A256" t="str">
        <f>IF(MASTER_PRODUCTS!B256="","",MASTER_PRODUCTS!B256)</f>
        <v/>
      </c>
      <c r="B256" t="str">
        <f>IF(A256="","",SUMIFS(PRODUCTION_REPORT!C:C,PRODUCTION_REPORT!B:B,A256))</f>
        <v/>
      </c>
      <c r="C256" t="str">
        <f>IF(A256="","",SUMIFS(SALES!E:E,SALES!D:D,A256))</f>
        <v/>
      </c>
      <c r="D256" t="str">
        <f t="shared" si="3"/>
        <v/>
      </c>
    </row>
    <row r="257" spans="1:4" x14ac:dyDescent="0.2">
      <c r="A257" t="str">
        <f>IF(MASTER_PRODUCTS!B257="","",MASTER_PRODUCTS!B257)</f>
        <v/>
      </c>
      <c r="B257" t="str">
        <f>IF(A257="","",SUMIFS(PRODUCTION_REPORT!C:C,PRODUCTION_REPORT!B:B,A257))</f>
        <v/>
      </c>
      <c r="C257" t="str">
        <f>IF(A257="","",SUMIFS(SALES!E:E,SALES!D:D,A257))</f>
        <v/>
      </c>
      <c r="D257" t="str">
        <f t="shared" si="3"/>
        <v/>
      </c>
    </row>
    <row r="258" spans="1:4" x14ac:dyDescent="0.2">
      <c r="A258" t="str">
        <f>IF(MASTER_PRODUCTS!B258="","",MASTER_PRODUCTS!B258)</f>
        <v/>
      </c>
      <c r="B258" t="str">
        <f>IF(A258="","",SUMIFS(PRODUCTION_REPORT!C:C,PRODUCTION_REPORT!B:B,A258))</f>
        <v/>
      </c>
      <c r="C258" t="str">
        <f>IF(A258="","",SUMIFS(SALES!E:E,SALES!D:D,A258))</f>
        <v/>
      </c>
      <c r="D258" t="str">
        <f t="shared" ref="D258:D321" si="4">IF(A258="","",B258-C258)</f>
        <v/>
      </c>
    </row>
    <row r="259" spans="1:4" x14ac:dyDescent="0.2">
      <c r="A259" t="str">
        <f>IF(MASTER_PRODUCTS!B259="","",MASTER_PRODUCTS!B259)</f>
        <v/>
      </c>
      <c r="B259" t="str">
        <f>IF(A259="","",SUMIFS(PRODUCTION_REPORT!C:C,PRODUCTION_REPORT!B:B,A259))</f>
        <v/>
      </c>
      <c r="C259" t="str">
        <f>IF(A259="","",SUMIFS(SALES!E:E,SALES!D:D,A259))</f>
        <v/>
      </c>
      <c r="D259" t="str">
        <f t="shared" si="4"/>
        <v/>
      </c>
    </row>
    <row r="260" spans="1:4" x14ac:dyDescent="0.2">
      <c r="A260" t="str">
        <f>IF(MASTER_PRODUCTS!B260="","",MASTER_PRODUCTS!B260)</f>
        <v/>
      </c>
      <c r="B260" t="str">
        <f>IF(A260="","",SUMIFS(PRODUCTION_REPORT!C:C,PRODUCTION_REPORT!B:B,A260))</f>
        <v/>
      </c>
      <c r="C260" t="str">
        <f>IF(A260="","",SUMIFS(SALES!E:E,SALES!D:D,A260))</f>
        <v/>
      </c>
      <c r="D260" t="str">
        <f t="shared" si="4"/>
        <v/>
      </c>
    </row>
    <row r="261" spans="1:4" x14ac:dyDescent="0.2">
      <c r="A261" t="str">
        <f>IF(MASTER_PRODUCTS!B261="","",MASTER_PRODUCTS!B261)</f>
        <v/>
      </c>
      <c r="B261" t="str">
        <f>IF(A261="","",SUMIFS(PRODUCTION_REPORT!C:C,PRODUCTION_REPORT!B:B,A261))</f>
        <v/>
      </c>
      <c r="C261" t="str">
        <f>IF(A261="","",SUMIFS(SALES!E:E,SALES!D:D,A261))</f>
        <v/>
      </c>
      <c r="D261" t="str">
        <f t="shared" si="4"/>
        <v/>
      </c>
    </row>
    <row r="262" spans="1:4" x14ac:dyDescent="0.2">
      <c r="A262" t="str">
        <f>IF(MASTER_PRODUCTS!B262="","",MASTER_PRODUCTS!B262)</f>
        <v/>
      </c>
      <c r="B262" t="str">
        <f>IF(A262="","",SUMIFS(PRODUCTION_REPORT!C:C,PRODUCTION_REPORT!B:B,A262))</f>
        <v/>
      </c>
      <c r="C262" t="str">
        <f>IF(A262="","",SUMIFS(SALES!E:E,SALES!D:D,A262))</f>
        <v/>
      </c>
      <c r="D262" t="str">
        <f t="shared" si="4"/>
        <v/>
      </c>
    </row>
    <row r="263" spans="1:4" x14ac:dyDescent="0.2">
      <c r="A263" t="str">
        <f>IF(MASTER_PRODUCTS!B263="","",MASTER_PRODUCTS!B263)</f>
        <v/>
      </c>
      <c r="B263" t="str">
        <f>IF(A263="","",SUMIFS(PRODUCTION_REPORT!C:C,PRODUCTION_REPORT!B:B,A263))</f>
        <v/>
      </c>
      <c r="C263" t="str">
        <f>IF(A263="","",SUMIFS(SALES!E:E,SALES!D:D,A263))</f>
        <v/>
      </c>
      <c r="D263" t="str">
        <f t="shared" si="4"/>
        <v/>
      </c>
    </row>
    <row r="264" spans="1:4" x14ac:dyDescent="0.2">
      <c r="A264" t="str">
        <f>IF(MASTER_PRODUCTS!B264="","",MASTER_PRODUCTS!B264)</f>
        <v/>
      </c>
      <c r="B264" t="str">
        <f>IF(A264="","",SUMIFS(PRODUCTION_REPORT!C:C,PRODUCTION_REPORT!B:B,A264))</f>
        <v/>
      </c>
      <c r="C264" t="str">
        <f>IF(A264="","",SUMIFS(SALES!E:E,SALES!D:D,A264))</f>
        <v/>
      </c>
      <c r="D264" t="str">
        <f t="shared" si="4"/>
        <v/>
      </c>
    </row>
    <row r="265" spans="1:4" x14ac:dyDescent="0.2">
      <c r="A265" t="str">
        <f>IF(MASTER_PRODUCTS!B265="","",MASTER_PRODUCTS!B265)</f>
        <v/>
      </c>
      <c r="B265" t="str">
        <f>IF(A265="","",SUMIFS(PRODUCTION_REPORT!C:C,PRODUCTION_REPORT!B:B,A265))</f>
        <v/>
      </c>
      <c r="C265" t="str">
        <f>IF(A265="","",SUMIFS(SALES!E:E,SALES!D:D,A265))</f>
        <v/>
      </c>
      <c r="D265" t="str">
        <f t="shared" si="4"/>
        <v/>
      </c>
    </row>
    <row r="266" spans="1:4" x14ac:dyDescent="0.2">
      <c r="A266" t="str">
        <f>IF(MASTER_PRODUCTS!B266="","",MASTER_PRODUCTS!B266)</f>
        <v/>
      </c>
      <c r="B266" t="str">
        <f>IF(A266="","",SUMIFS(PRODUCTION_REPORT!C:C,PRODUCTION_REPORT!B:B,A266))</f>
        <v/>
      </c>
      <c r="C266" t="str">
        <f>IF(A266="","",SUMIFS(SALES!E:E,SALES!D:D,A266))</f>
        <v/>
      </c>
      <c r="D266" t="str">
        <f t="shared" si="4"/>
        <v/>
      </c>
    </row>
    <row r="267" spans="1:4" x14ac:dyDescent="0.2">
      <c r="A267" t="str">
        <f>IF(MASTER_PRODUCTS!B267="","",MASTER_PRODUCTS!B267)</f>
        <v/>
      </c>
      <c r="B267" t="str">
        <f>IF(A267="","",SUMIFS(PRODUCTION_REPORT!C:C,PRODUCTION_REPORT!B:B,A267))</f>
        <v/>
      </c>
      <c r="C267" t="str">
        <f>IF(A267="","",SUMIFS(SALES!E:E,SALES!D:D,A267))</f>
        <v/>
      </c>
      <c r="D267" t="str">
        <f t="shared" si="4"/>
        <v/>
      </c>
    </row>
    <row r="268" spans="1:4" x14ac:dyDescent="0.2">
      <c r="A268" t="str">
        <f>IF(MASTER_PRODUCTS!B268="","",MASTER_PRODUCTS!B268)</f>
        <v/>
      </c>
      <c r="B268" t="str">
        <f>IF(A268="","",SUMIFS(PRODUCTION_REPORT!C:C,PRODUCTION_REPORT!B:B,A268))</f>
        <v/>
      </c>
      <c r="C268" t="str">
        <f>IF(A268="","",SUMIFS(SALES!E:E,SALES!D:D,A268))</f>
        <v/>
      </c>
      <c r="D268" t="str">
        <f t="shared" si="4"/>
        <v/>
      </c>
    </row>
    <row r="269" spans="1:4" x14ac:dyDescent="0.2">
      <c r="A269" t="str">
        <f>IF(MASTER_PRODUCTS!B269="","",MASTER_PRODUCTS!B269)</f>
        <v/>
      </c>
      <c r="B269" t="str">
        <f>IF(A269="","",SUMIFS(PRODUCTION_REPORT!C:C,PRODUCTION_REPORT!B:B,A269))</f>
        <v/>
      </c>
      <c r="C269" t="str">
        <f>IF(A269="","",SUMIFS(SALES!E:E,SALES!D:D,A269))</f>
        <v/>
      </c>
      <c r="D269" t="str">
        <f t="shared" si="4"/>
        <v/>
      </c>
    </row>
    <row r="270" spans="1:4" x14ac:dyDescent="0.2">
      <c r="A270" t="str">
        <f>IF(MASTER_PRODUCTS!B270="","",MASTER_PRODUCTS!B270)</f>
        <v/>
      </c>
      <c r="B270" t="str">
        <f>IF(A270="","",SUMIFS(PRODUCTION_REPORT!C:C,PRODUCTION_REPORT!B:B,A270))</f>
        <v/>
      </c>
      <c r="C270" t="str">
        <f>IF(A270="","",SUMIFS(SALES!E:E,SALES!D:D,A270))</f>
        <v/>
      </c>
      <c r="D270" t="str">
        <f t="shared" si="4"/>
        <v/>
      </c>
    </row>
    <row r="271" spans="1:4" x14ac:dyDescent="0.2">
      <c r="A271" t="str">
        <f>IF(MASTER_PRODUCTS!B271="","",MASTER_PRODUCTS!B271)</f>
        <v/>
      </c>
      <c r="B271" t="str">
        <f>IF(A271="","",SUMIFS(PRODUCTION_REPORT!C:C,PRODUCTION_REPORT!B:B,A271))</f>
        <v/>
      </c>
      <c r="C271" t="str">
        <f>IF(A271="","",SUMIFS(SALES!E:E,SALES!D:D,A271))</f>
        <v/>
      </c>
      <c r="D271" t="str">
        <f t="shared" si="4"/>
        <v/>
      </c>
    </row>
    <row r="272" spans="1:4" x14ac:dyDescent="0.2">
      <c r="A272" t="str">
        <f>IF(MASTER_PRODUCTS!B272="","",MASTER_PRODUCTS!B272)</f>
        <v/>
      </c>
      <c r="B272" t="str">
        <f>IF(A272="","",SUMIFS(PRODUCTION_REPORT!C:C,PRODUCTION_REPORT!B:B,A272))</f>
        <v/>
      </c>
      <c r="C272" t="str">
        <f>IF(A272="","",SUMIFS(SALES!E:E,SALES!D:D,A272))</f>
        <v/>
      </c>
      <c r="D272" t="str">
        <f t="shared" si="4"/>
        <v/>
      </c>
    </row>
    <row r="273" spans="1:4" x14ac:dyDescent="0.2">
      <c r="A273" t="str">
        <f>IF(MASTER_PRODUCTS!B273="","",MASTER_PRODUCTS!B273)</f>
        <v/>
      </c>
      <c r="B273" t="str">
        <f>IF(A273="","",SUMIFS(PRODUCTION_REPORT!C:C,PRODUCTION_REPORT!B:B,A273))</f>
        <v/>
      </c>
      <c r="C273" t="str">
        <f>IF(A273="","",SUMIFS(SALES!E:E,SALES!D:D,A273))</f>
        <v/>
      </c>
      <c r="D273" t="str">
        <f t="shared" si="4"/>
        <v/>
      </c>
    </row>
    <row r="274" spans="1:4" x14ac:dyDescent="0.2">
      <c r="A274" t="str">
        <f>IF(MASTER_PRODUCTS!B274="","",MASTER_PRODUCTS!B274)</f>
        <v/>
      </c>
      <c r="B274" t="str">
        <f>IF(A274="","",SUMIFS(PRODUCTION_REPORT!C:C,PRODUCTION_REPORT!B:B,A274))</f>
        <v/>
      </c>
      <c r="C274" t="str">
        <f>IF(A274="","",SUMIFS(SALES!E:E,SALES!D:D,A274))</f>
        <v/>
      </c>
      <c r="D274" t="str">
        <f t="shared" si="4"/>
        <v/>
      </c>
    </row>
    <row r="275" spans="1:4" x14ac:dyDescent="0.2">
      <c r="A275" t="str">
        <f>IF(MASTER_PRODUCTS!B275="","",MASTER_PRODUCTS!B275)</f>
        <v/>
      </c>
      <c r="B275" t="str">
        <f>IF(A275="","",SUMIFS(PRODUCTION_REPORT!C:C,PRODUCTION_REPORT!B:B,A275))</f>
        <v/>
      </c>
      <c r="C275" t="str">
        <f>IF(A275="","",SUMIFS(SALES!E:E,SALES!D:D,A275))</f>
        <v/>
      </c>
      <c r="D275" t="str">
        <f t="shared" si="4"/>
        <v/>
      </c>
    </row>
    <row r="276" spans="1:4" x14ac:dyDescent="0.2">
      <c r="A276" t="str">
        <f>IF(MASTER_PRODUCTS!B276="","",MASTER_PRODUCTS!B276)</f>
        <v/>
      </c>
      <c r="B276" t="str">
        <f>IF(A276="","",SUMIFS(PRODUCTION_REPORT!C:C,PRODUCTION_REPORT!B:B,A276))</f>
        <v/>
      </c>
      <c r="C276" t="str">
        <f>IF(A276="","",SUMIFS(SALES!E:E,SALES!D:D,A276))</f>
        <v/>
      </c>
      <c r="D276" t="str">
        <f t="shared" si="4"/>
        <v/>
      </c>
    </row>
    <row r="277" spans="1:4" x14ac:dyDescent="0.2">
      <c r="A277" t="str">
        <f>IF(MASTER_PRODUCTS!B277="","",MASTER_PRODUCTS!B277)</f>
        <v/>
      </c>
      <c r="B277" t="str">
        <f>IF(A277="","",SUMIFS(PRODUCTION_REPORT!C:C,PRODUCTION_REPORT!B:B,A277))</f>
        <v/>
      </c>
      <c r="C277" t="str">
        <f>IF(A277="","",SUMIFS(SALES!E:E,SALES!D:D,A277))</f>
        <v/>
      </c>
      <c r="D277" t="str">
        <f t="shared" si="4"/>
        <v/>
      </c>
    </row>
    <row r="278" spans="1:4" x14ac:dyDescent="0.2">
      <c r="A278" t="str">
        <f>IF(MASTER_PRODUCTS!B278="","",MASTER_PRODUCTS!B278)</f>
        <v/>
      </c>
      <c r="B278" t="str">
        <f>IF(A278="","",SUMIFS(PRODUCTION_REPORT!C:C,PRODUCTION_REPORT!B:B,A278))</f>
        <v/>
      </c>
      <c r="C278" t="str">
        <f>IF(A278="","",SUMIFS(SALES!E:E,SALES!D:D,A278))</f>
        <v/>
      </c>
      <c r="D278" t="str">
        <f t="shared" si="4"/>
        <v/>
      </c>
    </row>
    <row r="279" spans="1:4" x14ac:dyDescent="0.2">
      <c r="A279" t="str">
        <f>IF(MASTER_PRODUCTS!B279="","",MASTER_PRODUCTS!B279)</f>
        <v/>
      </c>
      <c r="B279" t="str">
        <f>IF(A279="","",SUMIFS(PRODUCTION_REPORT!C:C,PRODUCTION_REPORT!B:B,A279))</f>
        <v/>
      </c>
      <c r="C279" t="str">
        <f>IF(A279="","",SUMIFS(SALES!E:E,SALES!D:D,A279))</f>
        <v/>
      </c>
      <c r="D279" t="str">
        <f t="shared" si="4"/>
        <v/>
      </c>
    </row>
    <row r="280" spans="1:4" x14ac:dyDescent="0.2">
      <c r="A280" t="str">
        <f>IF(MASTER_PRODUCTS!B280="","",MASTER_PRODUCTS!B280)</f>
        <v/>
      </c>
      <c r="B280" t="str">
        <f>IF(A280="","",SUMIFS(PRODUCTION_REPORT!C:C,PRODUCTION_REPORT!B:B,A280))</f>
        <v/>
      </c>
      <c r="C280" t="str">
        <f>IF(A280="","",SUMIFS(SALES!E:E,SALES!D:D,A280))</f>
        <v/>
      </c>
      <c r="D280" t="str">
        <f t="shared" si="4"/>
        <v/>
      </c>
    </row>
    <row r="281" spans="1:4" x14ac:dyDescent="0.2">
      <c r="A281" t="str">
        <f>IF(MASTER_PRODUCTS!B281="","",MASTER_PRODUCTS!B281)</f>
        <v/>
      </c>
      <c r="B281" t="str">
        <f>IF(A281="","",SUMIFS(PRODUCTION_REPORT!C:C,PRODUCTION_REPORT!B:B,A281))</f>
        <v/>
      </c>
      <c r="C281" t="str">
        <f>IF(A281="","",SUMIFS(SALES!E:E,SALES!D:D,A281))</f>
        <v/>
      </c>
      <c r="D281" t="str">
        <f t="shared" si="4"/>
        <v/>
      </c>
    </row>
    <row r="282" spans="1:4" x14ac:dyDescent="0.2">
      <c r="A282" t="str">
        <f>IF(MASTER_PRODUCTS!B282="","",MASTER_PRODUCTS!B282)</f>
        <v/>
      </c>
      <c r="B282" t="str">
        <f>IF(A282="","",SUMIFS(PRODUCTION_REPORT!C:C,PRODUCTION_REPORT!B:B,A282))</f>
        <v/>
      </c>
      <c r="C282" t="str">
        <f>IF(A282="","",SUMIFS(SALES!E:E,SALES!D:D,A282))</f>
        <v/>
      </c>
      <c r="D282" t="str">
        <f t="shared" si="4"/>
        <v/>
      </c>
    </row>
    <row r="283" spans="1:4" x14ac:dyDescent="0.2">
      <c r="A283" t="str">
        <f>IF(MASTER_PRODUCTS!B283="","",MASTER_PRODUCTS!B283)</f>
        <v/>
      </c>
      <c r="B283" t="str">
        <f>IF(A283="","",SUMIFS(PRODUCTION_REPORT!C:C,PRODUCTION_REPORT!B:B,A283))</f>
        <v/>
      </c>
      <c r="C283" t="str">
        <f>IF(A283="","",SUMIFS(SALES!E:E,SALES!D:D,A283))</f>
        <v/>
      </c>
      <c r="D283" t="str">
        <f t="shared" si="4"/>
        <v/>
      </c>
    </row>
    <row r="284" spans="1:4" x14ac:dyDescent="0.2">
      <c r="A284" t="str">
        <f>IF(MASTER_PRODUCTS!B284="","",MASTER_PRODUCTS!B284)</f>
        <v/>
      </c>
      <c r="B284" t="str">
        <f>IF(A284="","",SUMIFS(PRODUCTION_REPORT!C:C,PRODUCTION_REPORT!B:B,A284))</f>
        <v/>
      </c>
      <c r="C284" t="str">
        <f>IF(A284="","",SUMIFS(SALES!E:E,SALES!D:D,A284))</f>
        <v/>
      </c>
      <c r="D284" t="str">
        <f t="shared" si="4"/>
        <v/>
      </c>
    </row>
    <row r="285" spans="1:4" x14ac:dyDescent="0.2">
      <c r="A285" t="str">
        <f>IF(MASTER_PRODUCTS!B285="","",MASTER_PRODUCTS!B285)</f>
        <v/>
      </c>
      <c r="B285" t="str">
        <f>IF(A285="","",SUMIFS(PRODUCTION_REPORT!C:C,PRODUCTION_REPORT!B:B,A285))</f>
        <v/>
      </c>
      <c r="C285" t="str">
        <f>IF(A285="","",SUMIFS(SALES!E:E,SALES!D:D,A285))</f>
        <v/>
      </c>
      <c r="D285" t="str">
        <f t="shared" si="4"/>
        <v/>
      </c>
    </row>
    <row r="286" spans="1:4" x14ac:dyDescent="0.2">
      <c r="A286" t="str">
        <f>IF(MASTER_PRODUCTS!B286="","",MASTER_PRODUCTS!B286)</f>
        <v/>
      </c>
      <c r="B286" t="str">
        <f>IF(A286="","",SUMIFS(PRODUCTION_REPORT!C:C,PRODUCTION_REPORT!B:B,A286))</f>
        <v/>
      </c>
      <c r="C286" t="str">
        <f>IF(A286="","",SUMIFS(SALES!E:E,SALES!D:D,A286))</f>
        <v/>
      </c>
      <c r="D286" t="str">
        <f t="shared" si="4"/>
        <v/>
      </c>
    </row>
    <row r="287" spans="1:4" x14ac:dyDescent="0.2">
      <c r="A287" t="str">
        <f>IF(MASTER_PRODUCTS!B287="","",MASTER_PRODUCTS!B287)</f>
        <v/>
      </c>
      <c r="B287" t="str">
        <f>IF(A287="","",SUMIFS(PRODUCTION_REPORT!C:C,PRODUCTION_REPORT!B:B,A287))</f>
        <v/>
      </c>
      <c r="C287" t="str">
        <f>IF(A287="","",SUMIFS(SALES!E:E,SALES!D:D,A287))</f>
        <v/>
      </c>
      <c r="D287" t="str">
        <f t="shared" si="4"/>
        <v/>
      </c>
    </row>
    <row r="288" spans="1:4" x14ac:dyDescent="0.2">
      <c r="A288" t="str">
        <f>IF(MASTER_PRODUCTS!B288="","",MASTER_PRODUCTS!B288)</f>
        <v/>
      </c>
      <c r="B288" t="str">
        <f>IF(A288="","",SUMIFS(PRODUCTION_REPORT!C:C,PRODUCTION_REPORT!B:B,A288))</f>
        <v/>
      </c>
      <c r="C288" t="str">
        <f>IF(A288="","",SUMIFS(SALES!E:E,SALES!D:D,A288))</f>
        <v/>
      </c>
      <c r="D288" t="str">
        <f t="shared" si="4"/>
        <v/>
      </c>
    </row>
    <row r="289" spans="1:4" x14ac:dyDescent="0.2">
      <c r="A289" t="str">
        <f>IF(MASTER_PRODUCTS!B289="","",MASTER_PRODUCTS!B289)</f>
        <v/>
      </c>
      <c r="B289" t="str">
        <f>IF(A289="","",SUMIFS(PRODUCTION_REPORT!C:C,PRODUCTION_REPORT!B:B,A289))</f>
        <v/>
      </c>
      <c r="C289" t="str">
        <f>IF(A289="","",SUMIFS(SALES!E:E,SALES!D:D,A289))</f>
        <v/>
      </c>
      <c r="D289" t="str">
        <f t="shared" si="4"/>
        <v/>
      </c>
    </row>
    <row r="290" spans="1:4" x14ac:dyDescent="0.2">
      <c r="A290" t="str">
        <f>IF(MASTER_PRODUCTS!B290="","",MASTER_PRODUCTS!B290)</f>
        <v/>
      </c>
      <c r="B290" t="str">
        <f>IF(A290="","",SUMIFS(PRODUCTION_REPORT!C:C,PRODUCTION_REPORT!B:B,A290))</f>
        <v/>
      </c>
      <c r="C290" t="str">
        <f>IF(A290="","",SUMIFS(SALES!E:E,SALES!D:D,A290))</f>
        <v/>
      </c>
      <c r="D290" t="str">
        <f t="shared" si="4"/>
        <v/>
      </c>
    </row>
    <row r="291" spans="1:4" x14ac:dyDescent="0.2">
      <c r="A291" t="str">
        <f>IF(MASTER_PRODUCTS!B291="","",MASTER_PRODUCTS!B291)</f>
        <v/>
      </c>
      <c r="B291" t="str">
        <f>IF(A291="","",SUMIFS(PRODUCTION_REPORT!C:C,PRODUCTION_REPORT!B:B,A291))</f>
        <v/>
      </c>
      <c r="C291" t="str">
        <f>IF(A291="","",SUMIFS(SALES!E:E,SALES!D:D,A291))</f>
        <v/>
      </c>
      <c r="D291" t="str">
        <f t="shared" si="4"/>
        <v/>
      </c>
    </row>
    <row r="292" spans="1:4" x14ac:dyDescent="0.2">
      <c r="A292" t="str">
        <f>IF(MASTER_PRODUCTS!B292="","",MASTER_PRODUCTS!B292)</f>
        <v/>
      </c>
      <c r="B292" t="str">
        <f>IF(A292="","",SUMIFS(PRODUCTION_REPORT!C:C,PRODUCTION_REPORT!B:B,A292))</f>
        <v/>
      </c>
      <c r="C292" t="str">
        <f>IF(A292="","",SUMIFS(SALES!E:E,SALES!D:D,A292))</f>
        <v/>
      </c>
      <c r="D292" t="str">
        <f t="shared" si="4"/>
        <v/>
      </c>
    </row>
    <row r="293" spans="1:4" x14ac:dyDescent="0.2">
      <c r="A293" t="str">
        <f>IF(MASTER_PRODUCTS!B293="","",MASTER_PRODUCTS!B293)</f>
        <v/>
      </c>
      <c r="B293" t="str">
        <f>IF(A293="","",SUMIFS(PRODUCTION_REPORT!C:C,PRODUCTION_REPORT!B:B,A293))</f>
        <v/>
      </c>
      <c r="C293" t="str">
        <f>IF(A293="","",SUMIFS(SALES!E:E,SALES!D:D,A293))</f>
        <v/>
      </c>
      <c r="D293" t="str">
        <f t="shared" si="4"/>
        <v/>
      </c>
    </row>
    <row r="294" spans="1:4" x14ac:dyDescent="0.2">
      <c r="A294" t="str">
        <f>IF(MASTER_PRODUCTS!B294="","",MASTER_PRODUCTS!B294)</f>
        <v/>
      </c>
      <c r="B294" t="str">
        <f>IF(A294="","",SUMIFS(PRODUCTION_REPORT!C:C,PRODUCTION_REPORT!B:B,A294))</f>
        <v/>
      </c>
      <c r="C294" t="str">
        <f>IF(A294="","",SUMIFS(SALES!E:E,SALES!D:D,A294))</f>
        <v/>
      </c>
      <c r="D294" t="str">
        <f t="shared" si="4"/>
        <v/>
      </c>
    </row>
    <row r="295" spans="1:4" x14ac:dyDescent="0.2">
      <c r="A295" t="str">
        <f>IF(MASTER_PRODUCTS!B295="","",MASTER_PRODUCTS!B295)</f>
        <v/>
      </c>
      <c r="B295" t="str">
        <f>IF(A295="","",SUMIFS(PRODUCTION_REPORT!C:C,PRODUCTION_REPORT!B:B,A295))</f>
        <v/>
      </c>
      <c r="C295" t="str">
        <f>IF(A295="","",SUMIFS(SALES!E:E,SALES!D:D,A295))</f>
        <v/>
      </c>
      <c r="D295" t="str">
        <f t="shared" si="4"/>
        <v/>
      </c>
    </row>
    <row r="296" spans="1:4" x14ac:dyDescent="0.2">
      <c r="A296" t="str">
        <f>IF(MASTER_PRODUCTS!B296="","",MASTER_PRODUCTS!B296)</f>
        <v/>
      </c>
      <c r="B296" t="str">
        <f>IF(A296="","",SUMIFS(PRODUCTION_REPORT!C:C,PRODUCTION_REPORT!B:B,A296))</f>
        <v/>
      </c>
      <c r="C296" t="str">
        <f>IF(A296="","",SUMIFS(SALES!E:E,SALES!D:D,A296))</f>
        <v/>
      </c>
      <c r="D296" t="str">
        <f t="shared" si="4"/>
        <v/>
      </c>
    </row>
    <row r="297" spans="1:4" x14ac:dyDescent="0.2">
      <c r="A297" t="str">
        <f>IF(MASTER_PRODUCTS!B297="","",MASTER_PRODUCTS!B297)</f>
        <v/>
      </c>
      <c r="B297" t="str">
        <f>IF(A297="","",SUMIFS(PRODUCTION_REPORT!C:C,PRODUCTION_REPORT!B:B,A297))</f>
        <v/>
      </c>
      <c r="C297" t="str">
        <f>IF(A297="","",SUMIFS(SALES!E:E,SALES!D:D,A297))</f>
        <v/>
      </c>
      <c r="D297" t="str">
        <f t="shared" si="4"/>
        <v/>
      </c>
    </row>
    <row r="298" spans="1:4" x14ac:dyDescent="0.2">
      <c r="A298" t="str">
        <f>IF(MASTER_PRODUCTS!B298="","",MASTER_PRODUCTS!B298)</f>
        <v/>
      </c>
      <c r="B298" t="str">
        <f>IF(A298="","",SUMIFS(PRODUCTION_REPORT!C:C,PRODUCTION_REPORT!B:B,A298))</f>
        <v/>
      </c>
      <c r="C298" t="str">
        <f>IF(A298="","",SUMIFS(SALES!E:E,SALES!D:D,A298))</f>
        <v/>
      </c>
      <c r="D298" t="str">
        <f t="shared" si="4"/>
        <v/>
      </c>
    </row>
    <row r="299" spans="1:4" x14ac:dyDescent="0.2">
      <c r="A299" t="str">
        <f>IF(MASTER_PRODUCTS!B299="","",MASTER_PRODUCTS!B299)</f>
        <v/>
      </c>
      <c r="B299" t="str">
        <f>IF(A299="","",SUMIFS(PRODUCTION_REPORT!C:C,PRODUCTION_REPORT!B:B,A299))</f>
        <v/>
      </c>
      <c r="C299" t="str">
        <f>IF(A299="","",SUMIFS(SALES!E:E,SALES!D:D,A299))</f>
        <v/>
      </c>
      <c r="D299" t="str">
        <f t="shared" si="4"/>
        <v/>
      </c>
    </row>
    <row r="300" spans="1:4" x14ac:dyDescent="0.2">
      <c r="A300" t="str">
        <f>IF(MASTER_PRODUCTS!B300="","",MASTER_PRODUCTS!B300)</f>
        <v/>
      </c>
      <c r="B300" t="str">
        <f>IF(A300="","",SUMIFS(PRODUCTION_REPORT!C:C,PRODUCTION_REPORT!B:B,A300))</f>
        <v/>
      </c>
      <c r="C300" t="str">
        <f>IF(A300="","",SUMIFS(SALES!E:E,SALES!D:D,A300))</f>
        <v/>
      </c>
      <c r="D300" t="str">
        <f t="shared" si="4"/>
        <v/>
      </c>
    </row>
    <row r="301" spans="1:4" x14ac:dyDescent="0.2">
      <c r="A301" t="str">
        <f>IF(MASTER_PRODUCTS!B301="","",MASTER_PRODUCTS!B301)</f>
        <v/>
      </c>
      <c r="B301" t="str">
        <f>IF(A301="","",SUMIFS(PRODUCTION_REPORT!C:C,PRODUCTION_REPORT!B:B,A301))</f>
        <v/>
      </c>
      <c r="C301" t="str">
        <f>IF(A301="","",SUMIFS(SALES!E:E,SALES!D:D,A301))</f>
        <v/>
      </c>
      <c r="D301" t="str">
        <f t="shared" si="4"/>
        <v/>
      </c>
    </row>
    <row r="302" spans="1:4" x14ac:dyDescent="0.2">
      <c r="A302" t="str">
        <f>IF(MASTER_PRODUCTS!B302="","",MASTER_PRODUCTS!B302)</f>
        <v/>
      </c>
      <c r="B302" t="str">
        <f>IF(A302="","",SUMIFS(PRODUCTION_REPORT!C:C,PRODUCTION_REPORT!B:B,A302))</f>
        <v/>
      </c>
      <c r="C302" t="str">
        <f>IF(A302="","",SUMIFS(SALES!E:E,SALES!D:D,A302))</f>
        <v/>
      </c>
      <c r="D302" t="str">
        <f t="shared" si="4"/>
        <v/>
      </c>
    </row>
    <row r="303" spans="1:4" x14ac:dyDescent="0.2">
      <c r="A303" t="str">
        <f>IF(MASTER_PRODUCTS!B303="","",MASTER_PRODUCTS!B303)</f>
        <v/>
      </c>
      <c r="B303" t="str">
        <f>IF(A303="","",SUMIFS(PRODUCTION_REPORT!C:C,PRODUCTION_REPORT!B:B,A303))</f>
        <v/>
      </c>
      <c r="C303" t="str">
        <f>IF(A303="","",SUMIFS(SALES!E:E,SALES!D:D,A303))</f>
        <v/>
      </c>
      <c r="D303" t="str">
        <f t="shared" si="4"/>
        <v/>
      </c>
    </row>
    <row r="304" spans="1:4" x14ac:dyDescent="0.2">
      <c r="A304" t="str">
        <f>IF(MASTER_PRODUCTS!B304="","",MASTER_PRODUCTS!B304)</f>
        <v/>
      </c>
      <c r="B304" t="str">
        <f>IF(A304="","",SUMIFS(PRODUCTION_REPORT!C:C,PRODUCTION_REPORT!B:B,A304))</f>
        <v/>
      </c>
      <c r="C304" t="str">
        <f>IF(A304="","",SUMIFS(SALES!E:E,SALES!D:D,A304))</f>
        <v/>
      </c>
      <c r="D304" t="str">
        <f t="shared" si="4"/>
        <v/>
      </c>
    </row>
    <row r="305" spans="1:4" x14ac:dyDescent="0.2">
      <c r="A305" t="str">
        <f>IF(MASTER_PRODUCTS!B305="","",MASTER_PRODUCTS!B305)</f>
        <v/>
      </c>
      <c r="B305" t="str">
        <f>IF(A305="","",SUMIFS(PRODUCTION_REPORT!C:C,PRODUCTION_REPORT!B:B,A305))</f>
        <v/>
      </c>
      <c r="C305" t="str">
        <f>IF(A305="","",SUMIFS(SALES!E:E,SALES!D:D,A305))</f>
        <v/>
      </c>
      <c r="D305" t="str">
        <f t="shared" si="4"/>
        <v/>
      </c>
    </row>
    <row r="306" spans="1:4" x14ac:dyDescent="0.2">
      <c r="A306" t="str">
        <f>IF(MASTER_PRODUCTS!B306="","",MASTER_PRODUCTS!B306)</f>
        <v/>
      </c>
      <c r="B306" t="str">
        <f>IF(A306="","",SUMIFS(PRODUCTION_REPORT!C:C,PRODUCTION_REPORT!B:B,A306))</f>
        <v/>
      </c>
      <c r="C306" t="str">
        <f>IF(A306="","",SUMIFS(SALES!E:E,SALES!D:D,A306))</f>
        <v/>
      </c>
      <c r="D306" t="str">
        <f t="shared" si="4"/>
        <v/>
      </c>
    </row>
    <row r="307" spans="1:4" x14ac:dyDescent="0.2">
      <c r="A307" t="str">
        <f>IF(MASTER_PRODUCTS!B307="","",MASTER_PRODUCTS!B307)</f>
        <v/>
      </c>
      <c r="B307" t="str">
        <f>IF(A307="","",SUMIFS(PRODUCTION_REPORT!C:C,PRODUCTION_REPORT!B:B,A307))</f>
        <v/>
      </c>
      <c r="C307" t="str">
        <f>IF(A307="","",SUMIFS(SALES!E:E,SALES!D:D,A307))</f>
        <v/>
      </c>
      <c r="D307" t="str">
        <f t="shared" si="4"/>
        <v/>
      </c>
    </row>
    <row r="308" spans="1:4" x14ac:dyDescent="0.2">
      <c r="A308" t="str">
        <f>IF(MASTER_PRODUCTS!B308="","",MASTER_PRODUCTS!B308)</f>
        <v/>
      </c>
      <c r="B308" t="str">
        <f>IF(A308="","",SUMIFS(PRODUCTION_REPORT!C:C,PRODUCTION_REPORT!B:B,A308))</f>
        <v/>
      </c>
      <c r="C308" t="str">
        <f>IF(A308="","",SUMIFS(SALES!E:E,SALES!D:D,A308))</f>
        <v/>
      </c>
      <c r="D308" t="str">
        <f t="shared" si="4"/>
        <v/>
      </c>
    </row>
    <row r="309" spans="1:4" x14ac:dyDescent="0.2">
      <c r="A309" t="str">
        <f>IF(MASTER_PRODUCTS!B309="","",MASTER_PRODUCTS!B309)</f>
        <v/>
      </c>
      <c r="B309" t="str">
        <f>IF(A309="","",SUMIFS(PRODUCTION_REPORT!C:C,PRODUCTION_REPORT!B:B,A309))</f>
        <v/>
      </c>
      <c r="C309" t="str">
        <f>IF(A309="","",SUMIFS(SALES!E:E,SALES!D:D,A309))</f>
        <v/>
      </c>
      <c r="D309" t="str">
        <f t="shared" si="4"/>
        <v/>
      </c>
    </row>
    <row r="310" spans="1:4" x14ac:dyDescent="0.2">
      <c r="A310" t="str">
        <f>IF(MASTER_PRODUCTS!B310="","",MASTER_PRODUCTS!B310)</f>
        <v/>
      </c>
      <c r="B310" t="str">
        <f>IF(A310="","",SUMIFS(PRODUCTION_REPORT!C:C,PRODUCTION_REPORT!B:B,A310))</f>
        <v/>
      </c>
      <c r="C310" t="str">
        <f>IF(A310="","",SUMIFS(SALES!E:E,SALES!D:D,A310))</f>
        <v/>
      </c>
      <c r="D310" t="str">
        <f t="shared" si="4"/>
        <v/>
      </c>
    </row>
    <row r="311" spans="1:4" x14ac:dyDescent="0.2">
      <c r="A311" t="str">
        <f>IF(MASTER_PRODUCTS!B311="","",MASTER_PRODUCTS!B311)</f>
        <v/>
      </c>
      <c r="B311" t="str">
        <f>IF(A311="","",SUMIFS(PRODUCTION_REPORT!C:C,PRODUCTION_REPORT!B:B,A311))</f>
        <v/>
      </c>
      <c r="C311" t="str">
        <f>IF(A311="","",SUMIFS(SALES!E:E,SALES!D:D,A311))</f>
        <v/>
      </c>
      <c r="D311" t="str">
        <f t="shared" si="4"/>
        <v/>
      </c>
    </row>
    <row r="312" spans="1:4" x14ac:dyDescent="0.2">
      <c r="A312" t="str">
        <f>IF(MASTER_PRODUCTS!B312="","",MASTER_PRODUCTS!B312)</f>
        <v/>
      </c>
      <c r="B312" t="str">
        <f>IF(A312="","",SUMIFS(PRODUCTION_REPORT!C:C,PRODUCTION_REPORT!B:B,A312))</f>
        <v/>
      </c>
      <c r="C312" t="str">
        <f>IF(A312="","",SUMIFS(SALES!E:E,SALES!D:D,A312))</f>
        <v/>
      </c>
      <c r="D312" t="str">
        <f t="shared" si="4"/>
        <v/>
      </c>
    </row>
    <row r="313" spans="1:4" x14ac:dyDescent="0.2">
      <c r="A313" t="str">
        <f>IF(MASTER_PRODUCTS!B313="","",MASTER_PRODUCTS!B313)</f>
        <v/>
      </c>
      <c r="B313" t="str">
        <f>IF(A313="","",SUMIFS(PRODUCTION_REPORT!C:C,PRODUCTION_REPORT!B:B,A313))</f>
        <v/>
      </c>
      <c r="C313" t="str">
        <f>IF(A313="","",SUMIFS(SALES!E:E,SALES!D:D,A313))</f>
        <v/>
      </c>
      <c r="D313" t="str">
        <f t="shared" si="4"/>
        <v/>
      </c>
    </row>
    <row r="314" spans="1:4" x14ac:dyDescent="0.2">
      <c r="A314" t="str">
        <f>IF(MASTER_PRODUCTS!B314="","",MASTER_PRODUCTS!B314)</f>
        <v/>
      </c>
      <c r="B314" t="str">
        <f>IF(A314="","",SUMIFS(PRODUCTION_REPORT!C:C,PRODUCTION_REPORT!B:B,A314))</f>
        <v/>
      </c>
      <c r="C314" t="str">
        <f>IF(A314="","",SUMIFS(SALES!E:E,SALES!D:D,A314))</f>
        <v/>
      </c>
      <c r="D314" t="str">
        <f t="shared" si="4"/>
        <v/>
      </c>
    </row>
    <row r="315" spans="1:4" x14ac:dyDescent="0.2">
      <c r="A315" t="str">
        <f>IF(MASTER_PRODUCTS!B315="","",MASTER_PRODUCTS!B315)</f>
        <v/>
      </c>
      <c r="B315" t="str">
        <f>IF(A315="","",SUMIFS(PRODUCTION_REPORT!C:C,PRODUCTION_REPORT!B:B,A315))</f>
        <v/>
      </c>
      <c r="C315" t="str">
        <f>IF(A315="","",SUMIFS(SALES!E:E,SALES!D:D,A315))</f>
        <v/>
      </c>
      <c r="D315" t="str">
        <f t="shared" si="4"/>
        <v/>
      </c>
    </row>
    <row r="316" spans="1:4" x14ac:dyDescent="0.2">
      <c r="A316" t="str">
        <f>IF(MASTER_PRODUCTS!B316="","",MASTER_PRODUCTS!B316)</f>
        <v/>
      </c>
      <c r="B316" t="str">
        <f>IF(A316="","",SUMIFS(PRODUCTION_REPORT!C:C,PRODUCTION_REPORT!B:B,A316))</f>
        <v/>
      </c>
      <c r="C316" t="str">
        <f>IF(A316="","",SUMIFS(SALES!E:E,SALES!D:D,A316))</f>
        <v/>
      </c>
      <c r="D316" t="str">
        <f t="shared" si="4"/>
        <v/>
      </c>
    </row>
    <row r="317" spans="1:4" x14ac:dyDescent="0.2">
      <c r="A317" t="str">
        <f>IF(MASTER_PRODUCTS!B317="","",MASTER_PRODUCTS!B317)</f>
        <v/>
      </c>
      <c r="B317" t="str">
        <f>IF(A317="","",SUMIFS(PRODUCTION_REPORT!C:C,PRODUCTION_REPORT!B:B,A317))</f>
        <v/>
      </c>
      <c r="C317" t="str">
        <f>IF(A317="","",SUMIFS(SALES!E:E,SALES!D:D,A317))</f>
        <v/>
      </c>
      <c r="D317" t="str">
        <f t="shared" si="4"/>
        <v/>
      </c>
    </row>
    <row r="318" spans="1:4" x14ac:dyDescent="0.2">
      <c r="A318" t="str">
        <f>IF(MASTER_PRODUCTS!B318="","",MASTER_PRODUCTS!B318)</f>
        <v/>
      </c>
      <c r="B318" t="str">
        <f>IF(A318="","",SUMIFS(PRODUCTION_REPORT!C:C,PRODUCTION_REPORT!B:B,A318))</f>
        <v/>
      </c>
      <c r="C318" t="str">
        <f>IF(A318="","",SUMIFS(SALES!E:E,SALES!D:D,A318))</f>
        <v/>
      </c>
      <c r="D318" t="str">
        <f t="shared" si="4"/>
        <v/>
      </c>
    </row>
    <row r="319" spans="1:4" x14ac:dyDescent="0.2">
      <c r="A319" t="str">
        <f>IF(MASTER_PRODUCTS!B319="","",MASTER_PRODUCTS!B319)</f>
        <v/>
      </c>
      <c r="B319" t="str">
        <f>IF(A319="","",SUMIFS(PRODUCTION_REPORT!C:C,PRODUCTION_REPORT!B:B,A319))</f>
        <v/>
      </c>
      <c r="C319" t="str">
        <f>IF(A319="","",SUMIFS(SALES!E:E,SALES!D:D,A319))</f>
        <v/>
      </c>
      <c r="D319" t="str">
        <f t="shared" si="4"/>
        <v/>
      </c>
    </row>
    <row r="320" spans="1:4" x14ac:dyDescent="0.2">
      <c r="A320" t="str">
        <f>IF(MASTER_PRODUCTS!B320="","",MASTER_PRODUCTS!B320)</f>
        <v/>
      </c>
      <c r="B320" t="str">
        <f>IF(A320="","",SUMIFS(PRODUCTION_REPORT!C:C,PRODUCTION_REPORT!B:B,A320))</f>
        <v/>
      </c>
      <c r="C320" t="str">
        <f>IF(A320="","",SUMIFS(SALES!E:E,SALES!D:D,A320))</f>
        <v/>
      </c>
      <c r="D320" t="str">
        <f t="shared" si="4"/>
        <v/>
      </c>
    </row>
    <row r="321" spans="1:4" x14ac:dyDescent="0.2">
      <c r="A321" t="str">
        <f>IF(MASTER_PRODUCTS!B321="","",MASTER_PRODUCTS!B321)</f>
        <v/>
      </c>
      <c r="B321" t="str">
        <f>IF(A321="","",SUMIFS(PRODUCTION_REPORT!C:C,PRODUCTION_REPORT!B:B,A321))</f>
        <v/>
      </c>
      <c r="C321" t="str">
        <f>IF(A321="","",SUMIFS(SALES!E:E,SALES!D:D,A321))</f>
        <v/>
      </c>
      <c r="D321" t="str">
        <f t="shared" si="4"/>
        <v/>
      </c>
    </row>
    <row r="322" spans="1:4" x14ac:dyDescent="0.2">
      <c r="A322" t="str">
        <f>IF(MASTER_PRODUCTS!B322="","",MASTER_PRODUCTS!B322)</f>
        <v/>
      </c>
      <c r="B322" t="str">
        <f>IF(A322="","",SUMIFS(PRODUCTION_REPORT!C:C,PRODUCTION_REPORT!B:B,A322))</f>
        <v/>
      </c>
      <c r="C322" t="str">
        <f>IF(A322="","",SUMIFS(SALES!E:E,SALES!D:D,A322))</f>
        <v/>
      </c>
      <c r="D322" t="str">
        <f t="shared" ref="D322:D385" si="5">IF(A322="","",B322-C322)</f>
        <v/>
      </c>
    </row>
    <row r="323" spans="1:4" x14ac:dyDescent="0.2">
      <c r="A323" t="str">
        <f>IF(MASTER_PRODUCTS!B323="","",MASTER_PRODUCTS!B323)</f>
        <v/>
      </c>
      <c r="B323" t="str">
        <f>IF(A323="","",SUMIFS(PRODUCTION_REPORT!C:C,PRODUCTION_REPORT!B:B,A323))</f>
        <v/>
      </c>
      <c r="C323" t="str">
        <f>IF(A323="","",SUMIFS(SALES!E:E,SALES!D:D,A323))</f>
        <v/>
      </c>
      <c r="D323" t="str">
        <f t="shared" si="5"/>
        <v/>
      </c>
    </row>
    <row r="324" spans="1:4" x14ac:dyDescent="0.2">
      <c r="A324" t="str">
        <f>IF(MASTER_PRODUCTS!B324="","",MASTER_PRODUCTS!B324)</f>
        <v/>
      </c>
      <c r="B324" t="str">
        <f>IF(A324="","",SUMIFS(PRODUCTION_REPORT!C:C,PRODUCTION_REPORT!B:B,A324))</f>
        <v/>
      </c>
      <c r="C324" t="str">
        <f>IF(A324="","",SUMIFS(SALES!E:E,SALES!D:D,A324))</f>
        <v/>
      </c>
      <c r="D324" t="str">
        <f t="shared" si="5"/>
        <v/>
      </c>
    </row>
    <row r="325" spans="1:4" x14ac:dyDescent="0.2">
      <c r="A325" t="str">
        <f>IF(MASTER_PRODUCTS!B325="","",MASTER_PRODUCTS!B325)</f>
        <v/>
      </c>
      <c r="B325" t="str">
        <f>IF(A325="","",SUMIFS(PRODUCTION_REPORT!C:C,PRODUCTION_REPORT!B:B,A325))</f>
        <v/>
      </c>
      <c r="C325" t="str">
        <f>IF(A325="","",SUMIFS(SALES!E:E,SALES!D:D,A325))</f>
        <v/>
      </c>
      <c r="D325" t="str">
        <f t="shared" si="5"/>
        <v/>
      </c>
    </row>
    <row r="326" spans="1:4" x14ac:dyDescent="0.2">
      <c r="A326" t="str">
        <f>IF(MASTER_PRODUCTS!B326="","",MASTER_PRODUCTS!B326)</f>
        <v/>
      </c>
      <c r="B326" t="str">
        <f>IF(A326="","",SUMIFS(PRODUCTION_REPORT!C:C,PRODUCTION_REPORT!B:B,A326))</f>
        <v/>
      </c>
      <c r="C326" t="str">
        <f>IF(A326="","",SUMIFS(SALES!E:E,SALES!D:D,A326))</f>
        <v/>
      </c>
      <c r="D326" t="str">
        <f t="shared" si="5"/>
        <v/>
      </c>
    </row>
    <row r="327" spans="1:4" x14ac:dyDescent="0.2">
      <c r="A327" t="str">
        <f>IF(MASTER_PRODUCTS!B327="","",MASTER_PRODUCTS!B327)</f>
        <v/>
      </c>
      <c r="B327" t="str">
        <f>IF(A327="","",SUMIFS(PRODUCTION_REPORT!C:C,PRODUCTION_REPORT!B:B,A327))</f>
        <v/>
      </c>
      <c r="C327" t="str">
        <f>IF(A327="","",SUMIFS(SALES!E:E,SALES!D:D,A327))</f>
        <v/>
      </c>
      <c r="D327" t="str">
        <f t="shared" si="5"/>
        <v/>
      </c>
    </row>
    <row r="328" spans="1:4" x14ac:dyDescent="0.2">
      <c r="A328" t="str">
        <f>IF(MASTER_PRODUCTS!B328="","",MASTER_PRODUCTS!B328)</f>
        <v/>
      </c>
      <c r="B328" t="str">
        <f>IF(A328="","",SUMIFS(PRODUCTION_REPORT!C:C,PRODUCTION_REPORT!B:B,A328))</f>
        <v/>
      </c>
      <c r="C328" t="str">
        <f>IF(A328="","",SUMIFS(SALES!E:E,SALES!D:D,A328))</f>
        <v/>
      </c>
      <c r="D328" t="str">
        <f t="shared" si="5"/>
        <v/>
      </c>
    </row>
    <row r="329" spans="1:4" x14ac:dyDescent="0.2">
      <c r="A329" t="str">
        <f>IF(MASTER_PRODUCTS!B329="","",MASTER_PRODUCTS!B329)</f>
        <v/>
      </c>
      <c r="B329" t="str">
        <f>IF(A329="","",SUMIFS(PRODUCTION_REPORT!C:C,PRODUCTION_REPORT!B:B,A329))</f>
        <v/>
      </c>
      <c r="C329" t="str">
        <f>IF(A329="","",SUMIFS(SALES!E:E,SALES!D:D,A329))</f>
        <v/>
      </c>
      <c r="D329" t="str">
        <f t="shared" si="5"/>
        <v/>
      </c>
    </row>
    <row r="330" spans="1:4" x14ac:dyDescent="0.2">
      <c r="A330" t="str">
        <f>IF(MASTER_PRODUCTS!B330="","",MASTER_PRODUCTS!B330)</f>
        <v/>
      </c>
      <c r="B330" t="str">
        <f>IF(A330="","",SUMIFS(PRODUCTION_REPORT!C:C,PRODUCTION_REPORT!B:B,A330))</f>
        <v/>
      </c>
      <c r="C330" t="str">
        <f>IF(A330="","",SUMIFS(SALES!E:E,SALES!D:D,A330))</f>
        <v/>
      </c>
      <c r="D330" t="str">
        <f t="shared" si="5"/>
        <v/>
      </c>
    </row>
    <row r="331" spans="1:4" x14ac:dyDescent="0.2">
      <c r="A331" t="str">
        <f>IF(MASTER_PRODUCTS!B331="","",MASTER_PRODUCTS!B331)</f>
        <v/>
      </c>
      <c r="B331" t="str">
        <f>IF(A331="","",SUMIFS(PRODUCTION_REPORT!C:C,PRODUCTION_REPORT!B:B,A331))</f>
        <v/>
      </c>
      <c r="C331" t="str">
        <f>IF(A331="","",SUMIFS(SALES!E:E,SALES!D:D,A331))</f>
        <v/>
      </c>
      <c r="D331" t="str">
        <f t="shared" si="5"/>
        <v/>
      </c>
    </row>
    <row r="332" spans="1:4" x14ac:dyDescent="0.2">
      <c r="A332" t="str">
        <f>IF(MASTER_PRODUCTS!B332="","",MASTER_PRODUCTS!B332)</f>
        <v/>
      </c>
      <c r="B332" t="str">
        <f>IF(A332="","",SUMIFS(PRODUCTION_REPORT!C:C,PRODUCTION_REPORT!B:B,A332))</f>
        <v/>
      </c>
      <c r="C332" t="str">
        <f>IF(A332="","",SUMIFS(SALES!E:E,SALES!D:D,A332))</f>
        <v/>
      </c>
      <c r="D332" t="str">
        <f t="shared" si="5"/>
        <v/>
      </c>
    </row>
    <row r="333" spans="1:4" x14ac:dyDescent="0.2">
      <c r="A333" t="str">
        <f>IF(MASTER_PRODUCTS!B333="","",MASTER_PRODUCTS!B333)</f>
        <v/>
      </c>
      <c r="B333" t="str">
        <f>IF(A333="","",SUMIFS(PRODUCTION_REPORT!C:C,PRODUCTION_REPORT!B:B,A333))</f>
        <v/>
      </c>
      <c r="C333" t="str">
        <f>IF(A333="","",SUMIFS(SALES!E:E,SALES!D:D,A333))</f>
        <v/>
      </c>
      <c r="D333" t="str">
        <f t="shared" si="5"/>
        <v/>
      </c>
    </row>
    <row r="334" spans="1:4" x14ac:dyDescent="0.2">
      <c r="A334" t="str">
        <f>IF(MASTER_PRODUCTS!B334="","",MASTER_PRODUCTS!B334)</f>
        <v/>
      </c>
      <c r="B334" t="str">
        <f>IF(A334="","",SUMIFS(PRODUCTION_REPORT!C:C,PRODUCTION_REPORT!B:B,A334))</f>
        <v/>
      </c>
      <c r="C334" t="str">
        <f>IF(A334="","",SUMIFS(SALES!E:E,SALES!D:D,A334))</f>
        <v/>
      </c>
      <c r="D334" t="str">
        <f t="shared" si="5"/>
        <v/>
      </c>
    </row>
    <row r="335" spans="1:4" x14ac:dyDescent="0.2">
      <c r="A335" t="str">
        <f>IF(MASTER_PRODUCTS!B335="","",MASTER_PRODUCTS!B335)</f>
        <v/>
      </c>
      <c r="B335" t="str">
        <f>IF(A335="","",SUMIFS(PRODUCTION_REPORT!C:C,PRODUCTION_REPORT!B:B,A335))</f>
        <v/>
      </c>
      <c r="C335" t="str">
        <f>IF(A335="","",SUMIFS(SALES!E:E,SALES!D:D,A335))</f>
        <v/>
      </c>
      <c r="D335" t="str">
        <f t="shared" si="5"/>
        <v/>
      </c>
    </row>
    <row r="336" spans="1:4" x14ac:dyDescent="0.2">
      <c r="A336" t="str">
        <f>IF(MASTER_PRODUCTS!B336="","",MASTER_PRODUCTS!B336)</f>
        <v/>
      </c>
      <c r="B336" t="str">
        <f>IF(A336="","",SUMIFS(PRODUCTION_REPORT!C:C,PRODUCTION_REPORT!B:B,A336))</f>
        <v/>
      </c>
      <c r="C336" t="str">
        <f>IF(A336="","",SUMIFS(SALES!E:E,SALES!D:D,A336))</f>
        <v/>
      </c>
      <c r="D336" t="str">
        <f t="shared" si="5"/>
        <v/>
      </c>
    </row>
    <row r="337" spans="1:4" x14ac:dyDescent="0.2">
      <c r="A337" t="str">
        <f>IF(MASTER_PRODUCTS!B337="","",MASTER_PRODUCTS!B337)</f>
        <v/>
      </c>
      <c r="B337" t="str">
        <f>IF(A337="","",SUMIFS(PRODUCTION_REPORT!C:C,PRODUCTION_REPORT!B:B,A337))</f>
        <v/>
      </c>
      <c r="C337" t="str">
        <f>IF(A337="","",SUMIFS(SALES!E:E,SALES!D:D,A337))</f>
        <v/>
      </c>
      <c r="D337" t="str">
        <f t="shared" si="5"/>
        <v/>
      </c>
    </row>
    <row r="338" spans="1:4" x14ac:dyDescent="0.2">
      <c r="A338" t="str">
        <f>IF(MASTER_PRODUCTS!B338="","",MASTER_PRODUCTS!B338)</f>
        <v/>
      </c>
      <c r="B338" t="str">
        <f>IF(A338="","",SUMIFS(PRODUCTION_REPORT!C:C,PRODUCTION_REPORT!B:B,A338))</f>
        <v/>
      </c>
      <c r="C338" t="str">
        <f>IF(A338="","",SUMIFS(SALES!E:E,SALES!D:D,A338))</f>
        <v/>
      </c>
      <c r="D338" t="str">
        <f t="shared" si="5"/>
        <v/>
      </c>
    </row>
    <row r="339" spans="1:4" x14ac:dyDescent="0.2">
      <c r="A339" t="str">
        <f>IF(MASTER_PRODUCTS!B339="","",MASTER_PRODUCTS!B339)</f>
        <v/>
      </c>
      <c r="B339" t="str">
        <f>IF(A339="","",SUMIFS(PRODUCTION_REPORT!C:C,PRODUCTION_REPORT!B:B,A339))</f>
        <v/>
      </c>
      <c r="C339" t="str">
        <f>IF(A339="","",SUMIFS(SALES!E:E,SALES!D:D,A339))</f>
        <v/>
      </c>
      <c r="D339" t="str">
        <f t="shared" si="5"/>
        <v/>
      </c>
    </row>
    <row r="340" spans="1:4" x14ac:dyDescent="0.2">
      <c r="A340" t="str">
        <f>IF(MASTER_PRODUCTS!B340="","",MASTER_PRODUCTS!B340)</f>
        <v/>
      </c>
      <c r="B340" t="str">
        <f>IF(A340="","",SUMIFS(PRODUCTION_REPORT!C:C,PRODUCTION_REPORT!B:B,A340))</f>
        <v/>
      </c>
      <c r="C340" t="str">
        <f>IF(A340="","",SUMIFS(SALES!E:E,SALES!D:D,A340))</f>
        <v/>
      </c>
      <c r="D340" t="str">
        <f t="shared" si="5"/>
        <v/>
      </c>
    </row>
    <row r="341" spans="1:4" x14ac:dyDescent="0.2">
      <c r="A341" t="str">
        <f>IF(MASTER_PRODUCTS!B341="","",MASTER_PRODUCTS!B341)</f>
        <v/>
      </c>
      <c r="B341" t="str">
        <f>IF(A341="","",SUMIFS(PRODUCTION_REPORT!C:C,PRODUCTION_REPORT!B:B,A341))</f>
        <v/>
      </c>
      <c r="C341" t="str">
        <f>IF(A341="","",SUMIFS(SALES!E:E,SALES!D:D,A341))</f>
        <v/>
      </c>
      <c r="D341" t="str">
        <f t="shared" si="5"/>
        <v/>
      </c>
    </row>
    <row r="342" spans="1:4" x14ac:dyDescent="0.2">
      <c r="A342" t="str">
        <f>IF(MASTER_PRODUCTS!B342="","",MASTER_PRODUCTS!B342)</f>
        <v/>
      </c>
      <c r="B342" t="str">
        <f>IF(A342="","",SUMIFS(PRODUCTION_REPORT!C:C,PRODUCTION_REPORT!B:B,A342))</f>
        <v/>
      </c>
      <c r="C342" t="str">
        <f>IF(A342="","",SUMIFS(SALES!E:E,SALES!D:D,A342))</f>
        <v/>
      </c>
      <c r="D342" t="str">
        <f t="shared" si="5"/>
        <v/>
      </c>
    </row>
    <row r="343" spans="1:4" x14ac:dyDescent="0.2">
      <c r="A343" t="str">
        <f>IF(MASTER_PRODUCTS!B343="","",MASTER_PRODUCTS!B343)</f>
        <v/>
      </c>
      <c r="B343" t="str">
        <f>IF(A343="","",SUMIFS(PRODUCTION_REPORT!C:C,PRODUCTION_REPORT!B:B,A343))</f>
        <v/>
      </c>
      <c r="C343" t="str">
        <f>IF(A343="","",SUMIFS(SALES!E:E,SALES!D:D,A343))</f>
        <v/>
      </c>
      <c r="D343" t="str">
        <f t="shared" si="5"/>
        <v/>
      </c>
    </row>
    <row r="344" spans="1:4" x14ac:dyDescent="0.2">
      <c r="A344" t="str">
        <f>IF(MASTER_PRODUCTS!B344="","",MASTER_PRODUCTS!B344)</f>
        <v/>
      </c>
      <c r="B344" t="str">
        <f>IF(A344="","",SUMIFS(PRODUCTION_REPORT!C:C,PRODUCTION_REPORT!B:B,A344))</f>
        <v/>
      </c>
      <c r="C344" t="str">
        <f>IF(A344="","",SUMIFS(SALES!E:E,SALES!D:D,A344))</f>
        <v/>
      </c>
      <c r="D344" t="str">
        <f t="shared" si="5"/>
        <v/>
      </c>
    </row>
    <row r="345" spans="1:4" x14ac:dyDescent="0.2">
      <c r="A345" t="str">
        <f>IF(MASTER_PRODUCTS!B345="","",MASTER_PRODUCTS!B345)</f>
        <v/>
      </c>
      <c r="B345" t="str">
        <f>IF(A345="","",SUMIFS(PRODUCTION_REPORT!C:C,PRODUCTION_REPORT!B:B,A345))</f>
        <v/>
      </c>
      <c r="C345" t="str">
        <f>IF(A345="","",SUMIFS(SALES!E:E,SALES!D:D,A345))</f>
        <v/>
      </c>
      <c r="D345" t="str">
        <f t="shared" si="5"/>
        <v/>
      </c>
    </row>
    <row r="346" spans="1:4" x14ac:dyDescent="0.2">
      <c r="A346" t="str">
        <f>IF(MASTER_PRODUCTS!B346="","",MASTER_PRODUCTS!B346)</f>
        <v/>
      </c>
      <c r="B346" t="str">
        <f>IF(A346="","",SUMIFS(PRODUCTION_REPORT!C:C,PRODUCTION_REPORT!B:B,A346))</f>
        <v/>
      </c>
      <c r="C346" t="str">
        <f>IF(A346="","",SUMIFS(SALES!E:E,SALES!D:D,A346))</f>
        <v/>
      </c>
      <c r="D346" t="str">
        <f t="shared" si="5"/>
        <v/>
      </c>
    </row>
    <row r="347" spans="1:4" x14ac:dyDescent="0.2">
      <c r="A347" t="str">
        <f>IF(MASTER_PRODUCTS!B347="","",MASTER_PRODUCTS!B347)</f>
        <v/>
      </c>
      <c r="B347" t="str">
        <f>IF(A347="","",SUMIFS(PRODUCTION_REPORT!C:C,PRODUCTION_REPORT!B:B,A347))</f>
        <v/>
      </c>
      <c r="C347" t="str">
        <f>IF(A347="","",SUMIFS(SALES!E:E,SALES!D:D,A347))</f>
        <v/>
      </c>
      <c r="D347" t="str">
        <f t="shared" si="5"/>
        <v/>
      </c>
    </row>
    <row r="348" spans="1:4" x14ac:dyDescent="0.2">
      <c r="A348" t="str">
        <f>IF(MASTER_PRODUCTS!B348="","",MASTER_PRODUCTS!B348)</f>
        <v/>
      </c>
      <c r="B348" t="str">
        <f>IF(A348="","",SUMIFS(PRODUCTION_REPORT!C:C,PRODUCTION_REPORT!B:B,A348))</f>
        <v/>
      </c>
      <c r="C348" t="str">
        <f>IF(A348="","",SUMIFS(SALES!E:E,SALES!D:D,A348))</f>
        <v/>
      </c>
      <c r="D348" t="str">
        <f t="shared" si="5"/>
        <v/>
      </c>
    </row>
    <row r="349" spans="1:4" x14ac:dyDescent="0.2">
      <c r="A349" t="str">
        <f>IF(MASTER_PRODUCTS!B349="","",MASTER_PRODUCTS!B349)</f>
        <v/>
      </c>
      <c r="B349" t="str">
        <f>IF(A349="","",SUMIFS(PRODUCTION_REPORT!C:C,PRODUCTION_REPORT!B:B,A349))</f>
        <v/>
      </c>
      <c r="C349" t="str">
        <f>IF(A349="","",SUMIFS(SALES!E:E,SALES!D:D,A349))</f>
        <v/>
      </c>
      <c r="D349" t="str">
        <f t="shared" si="5"/>
        <v/>
      </c>
    </row>
    <row r="350" spans="1:4" x14ac:dyDescent="0.2">
      <c r="A350" t="str">
        <f>IF(MASTER_PRODUCTS!B350="","",MASTER_PRODUCTS!B350)</f>
        <v/>
      </c>
      <c r="B350" t="str">
        <f>IF(A350="","",SUMIFS(PRODUCTION_REPORT!C:C,PRODUCTION_REPORT!B:B,A350))</f>
        <v/>
      </c>
      <c r="C350" t="str">
        <f>IF(A350="","",SUMIFS(SALES!E:E,SALES!D:D,A350))</f>
        <v/>
      </c>
      <c r="D350" t="str">
        <f t="shared" si="5"/>
        <v/>
      </c>
    </row>
    <row r="351" spans="1:4" x14ac:dyDescent="0.2">
      <c r="A351" t="str">
        <f>IF(MASTER_PRODUCTS!B351="","",MASTER_PRODUCTS!B351)</f>
        <v/>
      </c>
      <c r="B351" t="str">
        <f>IF(A351="","",SUMIFS(PRODUCTION_REPORT!C:C,PRODUCTION_REPORT!B:B,A351))</f>
        <v/>
      </c>
      <c r="C351" t="str">
        <f>IF(A351="","",SUMIFS(SALES!E:E,SALES!D:D,A351))</f>
        <v/>
      </c>
      <c r="D351" t="str">
        <f t="shared" si="5"/>
        <v/>
      </c>
    </row>
    <row r="352" spans="1:4" x14ac:dyDescent="0.2">
      <c r="A352" t="str">
        <f>IF(MASTER_PRODUCTS!B352="","",MASTER_PRODUCTS!B352)</f>
        <v/>
      </c>
      <c r="B352" t="str">
        <f>IF(A352="","",SUMIFS(PRODUCTION_REPORT!C:C,PRODUCTION_REPORT!B:B,A352))</f>
        <v/>
      </c>
      <c r="C352" t="str">
        <f>IF(A352="","",SUMIFS(SALES!E:E,SALES!D:D,A352))</f>
        <v/>
      </c>
      <c r="D352" t="str">
        <f t="shared" si="5"/>
        <v/>
      </c>
    </row>
    <row r="353" spans="1:4" x14ac:dyDescent="0.2">
      <c r="A353" t="str">
        <f>IF(MASTER_PRODUCTS!B353="","",MASTER_PRODUCTS!B353)</f>
        <v/>
      </c>
      <c r="B353" t="str">
        <f>IF(A353="","",SUMIFS(PRODUCTION_REPORT!C:C,PRODUCTION_REPORT!B:B,A353))</f>
        <v/>
      </c>
      <c r="C353" t="str">
        <f>IF(A353="","",SUMIFS(SALES!E:E,SALES!D:D,A353))</f>
        <v/>
      </c>
      <c r="D353" t="str">
        <f t="shared" si="5"/>
        <v/>
      </c>
    </row>
    <row r="354" spans="1:4" x14ac:dyDescent="0.2">
      <c r="A354" t="str">
        <f>IF(MASTER_PRODUCTS!B354="","",MASTER_PRODUCTS!B354)</f>
        <v/>
      </c>
      <c r="B354" t="str">
        <f>IF(A354="","",SUMIFS(PRODUCTION_REPORT!C:C,PRODUCTION_REPORT!B:B,A354))</f>
        <v/>
      </c>
      <c r="C354" t="str">
        <f>IF(A354="","",SUMIFS(SALES!E:E,SALES!D:D,A354))</f>
        <v/>
      </c>
      <c r="D354" t="str">
        <f t="shared" si="5"/>
        <v/>
      </c>
    </row>
    <row r="355" spans="1:4" x14ac:dyDescent="0.2">
      <c r="A355" t="str">
        <f>IF(MASTER_PRODUCTS!B355="","",MASTER_PRODUCTS!B355)</f>
        <v/>
      </c>
      <c r="B355" t="str">
        <f>IF(A355="","",SUMIFS(PRODUCTION_REPORT!C:C,PRODUCTION_REPORT!B:B,A355))</f>
        <v/>
      </c>
      <c r="C355" t="str">
        <f>IF(A355="","",SUMIFS(SALES!E:E,SALES!D:D,A355))</f>
        <v/>
      </c>
      <c r="D355" t="str">
        <f t="shared" si="5"/>
        <v/>
      </c>
    </row>
    <row r="356" spans="1:4" x14ac:dyDescent="0.2">
      <c r="A356" t="str">
        <f>IF(MASTER_PRODUCTS!B356="","",MASTER_PRODUCTS!B356)</f>
        <v/>
      </c>
      <c r="B356" t="str">
        <f>IF(A356="","",SUMIFS(PRODUCTION_REPORT!C:C,PRODUCTION_REPORT!B:B,A356))</f>
        <v/>
      </c>
      <c r="C356" t="str">
        <f>IF(A356="","",SUMIFS(SALES!E:E,SALES!D:D,A356))</f>
        <v/>
      </c>
      <c r="D356" t="str">
        <f t="shared" si="5"/>
        <v/>
      </c>
    </row>
    <row r="357" spans="1:4" x14ac:dyDescent="0.2">
      <c r="A357" t="str">
        <f>IF(MASTER_PRODUCTS!B357="","",MASTER_PRODUCTS!B357)</f>
        <v/>
      </c>
      <c r="B357" t="str">
        <f>IF(A357="","",SUMIFS(PRODUCTION_REPORT!C:C,PRODUCTION_REPORT!B:B,A357))</f>
        <v/>
      </c>
      <c r="C357" t="str">
        <f>IF(A357="","",SUMIFS(SALES!E:E,SALES!D:D,A357))</f>
        <v/>
      </c>
      <c r="D357" t="str">
        <f t="shared" si="5"/>
        <v/>
      </c>
    </row>
    <row r="358" spans="1:4" x14ac:dyDescent="0.2">
      <c r="A358" t="str">
        <f>IF(MASTER_PRODUCTS!B358="","",MASTER_PRODUCTS!B358)</f>
        <v/>
      </c>
      <c r="B358" t="str">
        <f>IF(A358="","",SUMIFS(PRODUCTION_REPORT!C:C,PRODUCTION_REPORT!B:B,A358))</f>
        <v/>
      </c>
      <c r="C358" t="str">
        <f>IF(A358="","",SUMIFS(SALES!E:E,SALES!D:D,A358))</f>
        <v/>
      </c>
      <c r="D358" t="str">
        <f t="shared" si="5"/>
        <v/>
      </c>
    </row>
    <row r="359" spans="1:4" x14ac:dyDescent="0.2">
      <c r="A359" t="str">
        <f>IF(MASTER_PRODUCTS!B359="","",MASTER_PRODUCTS!B359)</f>
        <v/>
      </c>
      <c r="B359" t="str">
        <f>IF(A359="","",SUMIFS(PRODUCTION_REPORT!C:C,PRODUCTION_REPORT!B:B,A359))</f>
        <v/>
      </c>
      <c r="C359" t="str">
        <f>IF(A359="","",SUMIFS(SALES!E:E,SALES!D:D,A359))</f>
        <v/>
      </c>
      <c r="D359" t="str">
        <f t="shared" si="5"/>
        <v/>
      </c>
    </row>
    <row r="360" spans="1:4" x14ac:dyDescent="0.2">
      <c r="A360" t="str">
        <f>IF(MASTER_PRODUCTS!B360="","",MASTER_PRODUCTS!B360)</f>
        <v/>
      </c>
      <c r="B360" t="str">
        <f>IF(A360="","",SUMIFS(PRODUCTION_REPORT!C:C,PRODUCTION_REPORT!B:B,A360))</f>
        <v/>
      </c>
      <c r="C360" t="str">
        <f>IF(A360="","",SUMIFS(SALES!E:E,SALES!D:D,A360))</f>
        <v/>
      </c>
      <c r="D360" t="str">
        <f t="shared" si="5"/>
        <v/>
      </c>
    </row>
    <row r="361" spans="1:4" x14ac:dyDescent="0.2">
      <c r="A361" t="str">
        <f>IF(MASTER_PRODUCTS!B361="","",MASTER_PRODUCTS!B361)</f>
        <v/>
      </c>
      <c r="B361" t="str">
        <f>IF(A361="","",SUMIFS(PRODUCTION_REPORT!C:C,PRODUCTION_REPORT!B:B,A361))</f>
        <v/>
      </c>
      <c r="C361" t="str">
        <f>IF(A361="","",SUMIFS(SALES!E:E,SALES!D:D,A361))</f>
        <v/>
      </c>
      <c r="D361" t="str">
        <f t="shared" si="5"/>
        <v/>
      </c>
    </row>
    <row r="362" spans="1:4" x14ac:dyDescent="0.2">
      <c r="A362" t="str">
        <f>IF(MASTER_PRODUCTS!B362="","",MASTER_PRODUCTS!B362)</f>
        <v/>
      </c>
      <c r="B362" t="str">
        <f>IF(A362="","",SUMIFS(PRODUCTION_REPORT!C:C,PRODUCTION_REPORT!B:B,A362))</f>
        <v/>
      </c>
      <c r="C362" t="str">
        <f>IF(A362="","",SUMIFS(SALES!E:E,SALES!D:D,A362))</f>
        <v/>
      </c>
      <c r="D362" t="str">
        <f t="shared" si="5"/>
        <v/>
      </c>
    </row>
    <row r="363" spans="1:4" x14ac:dyDescent="0.2">
      <c r="A363" t="str">
        <f>IF(MASTER_PRODUCTS!B363="","",MASTER_PRODUCTS!B363)</f>
        <v/>
      </c>
      <c r="B363" t="str">
        <f>IF(A363="","",SUMIFS(PRODUCTION_REPORT!C:C,PRODUCTION_REPORT!B:B,A363))</f>
        <v/>
      </c>
      <c r="C363" t="str">
        <f>IF(A363="","",SUMIFS(SALES!E:E,SALES!D:D,A363))</f>
        <v/>
      </c>
      <c r="D363" t="str">
        <f t="shared" si="5"/>
        <v/>
      </c>
    </row>
    <row r="364" spans="1:4" x14ac:dyDescent="0.2">
      <c r="A364" t="str">
        <f>IF(MASTER_PRODUCTS!B364="","",MASTER_PRODUCTS!B364)</f>
        <v/>
      </c>
      <c r="B364" t="str">
        <f>IF(A364="","",SUMIFS(PRODUCTION_REPORT!C:C,PRODUCTION_REPORT!B:B,A364))</f>
        <v/>
      </c>
      <c r="C364" t="str">
        <f>IF(A364="","",SUMIFS(SALES!E:E,SALES!D:D,A364))</f>
        <v/>
      </c>
      <c r="D364" t="str">
        <f t="shared" si="5"/>
        <v/>
      </c>
    </row>
    <row r="365" spans="1:4" x14ac:dyDescent="0.2">
      <c r="A365" t="str">
        <f>IF(MASTER_PRODUCTS!B365="","",MASTER_PRODUCTS!B365)</f>
        <v/>
      </c>
      <c r="B365" t="str">
        <f>IF(A365="","",SUMIFS(PRODUCTION_REPORT!C:C,PRODUCTION_REPORT!B:B,A365))</f>
        <v/>
      </c>
      <c r="C365" t="str">
        <f>IF(A365="","",SUMIFS(SALES!E:E,SALES!D:D,A365))</f>
        <v/>
      </c>
      <c r="D365" t="str">
        <f t="shared" si="5"/>
        <v/>
      </c>
    </row>
    <row r="366" spans="1:4" x14ac:dyDescent="0.2">
      <c r="A366" t="str">
        <f>IF(MASTER_PRODUCTS!B366="","",MASTER_PRODUCTS!B366)</f>
        <v/>
      </c>
      <c r="B366" t="str">
        <f>IF(A366="","",SUMIFS(PRODUCTION_REPORT!C:C,PRODUCTION_REPORT!B:B,A366))</f>
        <v/>
      </c>
      <c r="C366" t="str">
        <f>IF(A366="","",SUMIFS(SALES!E:E,SALES!D:D,A366))</f>
        <v/>
      </c>
      <c r="D366" t="str">
        <f t="shared" si="5"/>
        <v/>
      </c>
    </row>
    <row r="367" spans="1:4" x14ac:dyDescent="0.2">
      <c r="A367" t="str">
        <f>IF(MASTER_PRODUCTS!B367="","",MASTER_PRODUCTS!B367)</f>
        <v/>
      </c>
      <c r="B367" t="str">
        <f>IF(A367="","",SUMIFS(PRODUCTION_REPORT!C:C,PRODUCTION_REPORT!B:B,A367))</f>
        <v/>
      </c>
      <c r="C367" t="str">
        <f>IF(A367="","",SUMIFS(SALES!E:E,SALES!D:D,A367))</f>
        <v/>
      </c>
      <c r="D367" t="str">
        <f t="shared" si="5"/>
        <v/>
      </c>
    </row>
    <row r="368" spans="1:4" x14ac:dyDescent="0.2">
      <c r="A368" t="str">
        <f>IF(MASTER_PRODUCTS!B368="","",MASTER_PRODUCTS!B368)</f>
        <v/>
      </c>
      <c r="B368" t="str">
        <f>IF(A368="","",SUMIFS(PRODUCTION_REPORT!C:C,PRODUCTION_REPORT!B:B,A368))</f>
        <v/>
      </c>
      <c r="C368" t="str">
        <f>IF(A368="","",SUMIFS(SALES!E:E,SALES!D:D,A368))</f>
        <v/>
      </c>
      <c r="D368" t="str">
        <f t="shared" si="5"/>
        <v/>
      </c>
    </row>
    <row r="369" spans="1:4" x14ac:dyDescent="0.2">
      <c r="A369" t="str">
        <f>IF(MASTER_PRODUCTS!B369="","",MASTER_PRODUCTS!B369)</f>
        <v/>
      </c>
      <c r="B369" t="str">
        <f>IF(A369="","",SUMIFS(PRODUCTION_REPORT!C:C,PRODUCTION_REPORT!B:B,A369))</f>
        <v/>
      </c>
      <c r="C369" t="str">
        <f>IF(A369="","",SUMIFS(SALES!E:E,SALES!D:D,A369))</f>
        <v/>
      </c>
      <c r="D369" t="str">
        <f t="shared" si="5"/>
        <v/>
      </c>
    </row>
    <row r="370" spans="1:4" x14ac:dyDescent="0.2">
      <c r="A370" t="str">
        <f>IF(MASTER_PRODUCTS!B370="","",MASTER_PRODUCTS!B370)</f>
        <v/>
      </c>
      <c r="B370" t="str">
        <f>IF(A370="","",SUMIFS(PRODUCTION_REPORT!C:C,PRODUCTION_REPORT!B:B,A370))</f>
        <v/>
      </c>
      <c r="C370" t="str">
        <f>IF(A370="","",SUMIFS(SALES!E:E,SALES!D:D,A370))</f>
        <v/>
      </c>
      <c r="D370" t="str">
        <f t="shared" si="5"/>
        <v/>
      </c>
    </row>
    <row r="371" spans="1:4" x14ac:dyDescent="0.2">
      <c r="A371" t="str">
        <f>IF(MASTER_PRODUCTS!B371="","",MASTER_PRODUCTS!B371)</f>
        <v/>
      </c>
      <c r="B371" t="str">
        <f>IF(A371="","",SUMIFS(PRODUCTION_REPORT!C:C,PRODUCTION_REPORT!B:B,A371))</f>
        <v/>
      </c>
      <c r="C371" t="str">
        <f>IF(A371="","",SUMIFS(SALES!E:E,SALES!D:D,A371))</f>
        <v/>
      </c>
      <c r="D371" t="str">
        <f t="shared" si="5"/>
        <v/>
      </c>
    </row>
    <row r="372" spans="1:4" x14ac:dyDescent="0.2">
      <c r="A372" t="str">
        <f>IF(MASTER_PRODUCTS!B372="","",MASTER_PRODUCTS!B372)</f>
        <v/>
      </c>
      <c r="B372" t="str">
        <f>IF(A372="","",SUMIFS(PRODUCTION_REPORT!C:C,PRODUCTION_REPORT!B:B,A372))</f>
        <v/>
      </c>
      <c r="C372" t="str">
        <f>IF(A372="","",SUMIFS(SALES!E:E,SALES!D:D,A372))</f>
        <v/>
      </c>
      <c r="D372" t="str">
        <f t="shared" si="5"/>
        <v/>
      </c>
    </row>
    <row r="373" spans="1:4" x14ac:dyDescent="0.2">
      <c r="A373" t="str">
        <f>IF(MASTER_PRODUCTS!B373="","",MASTER_PRODUCTS!B373)</f>
        <v/>
      </c>
      <c r="B373" t="str">
        <f>IF(A373="","",SUMIFS(PRODUCTION_REPORT!C:C,PRODUCTION_REPORT!B:B,A373))</f>
        <v/>
      </c>
      <c r="C373" t="str">
        <f>IF(A373="","",SUMIFS(SALES!E:E,SALES!D:D,A373))</f>
        <v/>
      </c>
      <c r="D373" t="str">
        <f t="shared" si="5"/>
        <v/>
      </c>
    </row>
    <row r="374" spans="1:4" x14ac:dyDescent="0.2">
      <c r="A374" t="str">
        <f>IF(MASTER_PRODUCTS!B374="","",MASTER_PRODUCTS!B374)</f>
        <v/>
      </c>
      <c r="B374" t="str">
        <f>IF(A374="","",SUMIFS(PRODUCTION_REPORT!C:C,PRODUCTION_REPORT!B:B,A374))</f>
        <v/>
      </c>
      <c r="C374" t="str">
        <f>IF(A374="","",SUMIFS(SALES!E:E,SALES!D:D,A374))</f>
        <v/>
      </c>
      <c r="D374" t="str">
        <f t="shared" si="5"/>
        <v/>
      </c>
    </row>
    <row r="375" spans="1:4" x14ac:dyDescent="0.2">
      <c r="A375" t="str">
        <f>IF(MASTER_PRODUCTS!B375="","",MASTER_PRODUCTS!B375)</f>
        <v/>
      </c>
      <c r="B375" t="str">
        <f>IF(A375="","",SUMIFS(PRODUCTION_REPORT!C:C,PRODUCTION_REPORT!B:B,A375))</f>
        <v/>
      </c>
      <c r="C375" t="str">
        <f>IF(A375="","",SUMIFS(SALES!E:E,SALES!D:D,A375))</f>
        <v/>
      </c>
      <c r="D375" t="str">
        <f t="shared" si="5"/>
        <v/>
      </c>
    </row>
    <row r="376" spans="1:4" x14ac:dyDescent="0.2">
      <c r="A376" t="str">
        <f>IF(MASTER_PRODUCTS!B376="","",MASTER_PRODUCTS!B376)</f>
        <v/>
      </c>
      <c r="B376" t="str">
        <f>IF(A376="","",SUMIFS(PRODUCTION_REPORT!C:C,PRODUCTION_REPORT!B:B,A376))</f>
        <v/>
      </c>
      <c r="C376" t="str">
        <f>IF(A376="","",SUMIFS(SALES!E:E,SALES!D:D,A376))</f>
        <v/>
      </c>
      <c r="D376" t="str">
        <f t="shared" si="5"/>
        <v/>
      </c>
    </row>
    <row r="377" spans="1:4" x14ac:dyDescent="0.2">
      <c r="A377" t="str">
        <f>IF(MASTER_PRODUCTS!B377="","",MASTER_PRODUCTS!B377)</f>
        <v/>
      </c>
      <c r="B377" t="str">
        <f>IF(A377="","",SUMIFS(PRODUCTION_REPORT!C:C,PRODUCTION_REPORT!B:B,A377))</f>
        <v/>
      </c>
      <c r="C377" t="str">
        <f>IF(A377="","",SUMIFS(SALES!E:E,SALES!D:D,A377))</f>
        <v/>
      </c>
      <c r="D377" t="str">
        <f t="shared" si="5"/>
        <v/>
      </c>
    </row>
    <row r="378" spans="1:4" x14ac:dyDescent="0.2">
      <c r="A378" t="str">
        <f>IF(MASTER_PRODUCTS!B378="","",MASTER_PRODUCTS!B378)</f>
        <v/>
      </c>
      <c r="B378" t="str">
        <f>IF(A378="","",SUMIFS(PRODUCTION_REPORT!C:C,PRODUCTION_REPORT!B:B,A378))</f>
        <v/>
      </c>
      <c r="C378" t="str">
        <f>IF(A378="","",SUMIFS(SALES!E:E,SALES!D:D,A378))</f>
        <v/>
      </c>
      <c r="D378" t="str">
        <f t="shared" si="5"/>
        <v/>
      </c>
    </row>
    <row r="379" spans="1:4" x14ac:dyDescent="0.2">
      <c r="A379" t="str">
        <f>IF(MASTER_PRODUCTS!B379="","",MASTER_PRODUCTS!B379)</f>
        <v/>
      </c>
      <c r="B379" t="str">
        <f>IF(A379="","",SUMIFS(PRODUCTION_REPORT!C:C,PRODUCTION_REPORT!B:B,A379))</f>
        <v/>
      </c>
      <c r="C379" t="str">
        <f>IF(A379="","",SUMIFS(SALES!E:E,SALES!D:D,A379))</f>
        <v/>
      </c>
      <c r="D379" t="str">
        <f t="shared" si="5"/>
        <v/>
      </c>
    </row>
    <row r="380" spans="1:4" x14ac:dyDescent="0.2">
      <c r="A380" t="str">
        <f>IF(MASTER_PRODUCTS!B380="","",MASTER_PRODUCTS!B380)</f>
        <v/>
      </c>
      <c r="B380" t="str">
        <f>IF(A380="","",SUMIFS(PRODUCTION_REPORT!C:C,PRODUCTION_REPORT!B:B,A380))</f>
        <v/>
      </c>
      <c r="C380" t="str">
        <f>IF(A380="","",SUMIFS(SALES!E:E,SALES!D:D,A380))</f>
        <v/>
      </c>
      <c r="D380" t="str">
        <f t="shared" si="5"/>
        <v/>
      </c>
    </row>
    <row r="381" spans="1:4" x14ac:dyDescent="0.2">
      <c r="A381" t="str">
        <f>IF(MASTER_PRODUCTS!B381="","",MASTER_PRODUCTS!B381)</f>
        <v/>
      </c>
      <c r="B381" t="str">
        <f>IF(A381="","",SUMIFS(PRODUCTION_REPORT!C:C,PRODUCTION_REPORT!B:B,A381))</f>
        <v/>
      </c>
      <c r="C381" t="str">
        <f>IF(A381="","",SUMIFS(SALES!E:E,SALES!D:D,A381))</f>
        <v/>
      </c>
      <c r="D381" t="str">
        <f t="shared" si="5"/>
        <v/>
      </c>
    </row>
    <row r="382" spans="1:4" x14ac:dyDescent="0.2">
      <c r="A382" t="str">
        <f>IF(MASTER_PRODUCTS!B382="","",MASTER_PRODUCTS!B382)</f>
        <v/>
      </c>
      <c r="B382" t="str">
        <f>IF(A382="","",SUMIFS(PRODUCTION_REPORT!C:C,PRODUCTION_REPORT!B:B,A382))</f>
        <v/>
      </c>
      <c r="C382" t="str">
        <f>IF(A382="","",SUMIFS(SALES!E:E,SALES!D:D,A382))</f>
        <v/>
      </c>
      <c r="D382" t="str">
        <f t="shared" si="5"/>
        <v/>
      </c>
    </row>
    <row r="383" spans="1:4" x14ac:dyDescent="0.2">
      <c r="A383" t="str">
        <f>IF(MASTER_PRODUCTS!B383="","",MASTER_PRODUCTS!B383)</f>
        <v/>
      </c>
      <c r="B383" t="str">
        <f>IF(A383="","",SUMIFS(PRODUCTION_REPORT!C:C,PRODUCTION_REPORT!B:B,A383))</f>
        <v/>
      </c>
      <c r="C383" t="str">
        <f>IF(A383="","",SUMIFS(SALES!E:E,SALES!D:D,A383))</f>
        <v/>
      </c>
      <c r="D383" t="str">
        <f t="shared" si="5"/>
        <v/>
      </c>
    </row>
    <row r="384" spans="1:4" x14ac:dyDescent="0.2">
      <c r="A384" t="str">
        <f>IF(MASTER_PRODUCTS!B384="","",MASTER_PRODUCTS!B384)</f>
        <v/>
      </c>
      <c r="B384" t="str">
        <f>IF(A384="","",SUMIFS(PRODUCTION_REPORT!C:C,PRODUCTION_REPORT!B:B,A384))</f>
        <v/>
      </c>
      <c r="C384" t="str">
        <f>IF(A384="","",SUMIFS(SALES!E:E,SALES!D:D,A384))</f>
        <v/>
      </c>
      <c r="D384" t="str">
        <f t="shared" si="5"/>
        <v/>
      </c>
    </row>
    <row r="385" spans="1:4" x14ac:dyDescent="0.2">
      <c r="A385" t="str">
        <f>IF(MASTER_PRODUCTS!B385="","",MASTER_PRODUCTS!B385)</f>
        <v/>
      </c>
      <c r="B385" t="str">
        <f>IF(A385="","",SUMIFS(PRODUCTION_REPORT!C:C,PRODUCTION_REPORT!B:B,A385))</f>
        <v/>
      </c>
      <c r="C385" t="str">
        <f>IF(A385="","",SUMIFS(SALES!E:E,SALES!D:D,A385))</f>
        <v/>
      </c>
      <c r="D385" t="str">
        <f t="shared" si="5"/>
        <v/>
      </c>
    </row>
    <row r="386" spans="1:4" x14ac:dyDescent="0.2">
      <c r="A386" t="str">
        <f>IF(MASTER_PRODUCTS!B386="","",MASTER_PRODUCTS!B386)</f>
        <v/>
      </c>
      <c r="B386" t="str">
        <f>IF(A386="","",SUMIFS(PRODUCTION_REPORT!C:C,PRODUCTION_REPORT!B:B,A386))</f>
        <v/>
      </c>
      <c r="C386" t="str">
        <f>IF(A386="","",SUMIFS(SALES!E:E,SALES!D:D,A386))</f>
        <v/>
      </c>
      <c r="D386" t="str">
        <f t="shared" ref="D386:D449" si="6">IF(A386="","",B386-C386)</f>
        <v/>
      </c>
    </row>
    <row r="387" spans="1:4" x14ac:dyDescent="0.2">
      <c r="A387" t="str">
        <f>IF(MASTER_PRODUCTS!B387="","",MASTER_PRODUCTS!B387)</f>
        <v/>
      </c>
      <c r="B387" t="str">
        <f>IF(A387="","",SUMIFS(PRODUCTION_REPORT!C:C,PRODUCTION_REPORT!B:B,A387))</f>
        <v/>
      </c>
      <c r="C387" t="str">
        <f>IF(A387="","",SUMIFS(SALES!E:E,SALES!D:D,A387))</f>
        <v/>
      </c>
      <c r="D387" t="str">
        <f t="shared" si="6"/>
        <v/>
      </c>
    </row>
    <row r="388" spans="1:4" x14ac:dyDescent="0.2">
      <c r="A388" t="str">
        <f>IF(MASTER_PRODUCTS!B388="","",MASTER_PRODUCTS!B388)</f>
        <v/>
      </c>
      <c r="B388" t="str">
        <f>IF(A388="","",SUMIFS(PRODUCTION_REPORT!C:C,PRODUCTION_REPORT!B:B,A388))</f>
        <v/>
      </c>
      <c r="C388" t="str">
        <f>IF(A388="","",SUMIFS(SALES!E:E,SALES!D:D,A388))</f>
        <v/>
      </c>
      <c r="D388" t="str">
        <f t="shared" si="6"/>
        <v/>
      </c>
    </row>
    <row r="389" spans="1:4" x14ac:dyDescent="0.2">
      <c r="A389" t="str">
        <f>IF(MASTER_PRODUCTS!B389="","",MASTER_PRODUCTS!B389)</f>
        <v/>
      </c>
      <c r="B389" t="str">
        <f>IF(A389="","",SUMIFS(PRODUCTION_REPORT!C:C,PRODUCTION_REPORT!B:B,A389))</f>
        <v/>
      </c>
      <c r="C389" t="str">
        <f>IF(A389="","",SUMIFS(SALES!E:E,SALES!D:D,A389))</f>
        <v/>
      </c>
      <c r="D389" t="str">
        <f t="shared" si="6"/>
        <v/>
      </c>
    </row>
    <row r="390" spans="1:4" x14ac:dyDescent="0.2">
      <c r="A390" t="str">
        <f>IF(MASTER_PRODUCTS!B390="","",MASTER_PRODUCTS!B390)</f>
        <v/>
      </c>
      <c r="B390" t="str">
        <f>IF(A390="","",SUMIFS(PRODUCTION_REPORT!C:C,PRODUCTION_REPORT!B:B,A390))</f>
        <v/>
      </c>
      <c r="C390" t="str">
        <f>IF(A390="","",SUMIFS(SALES!E:E,SALES!D:D,A390))</f>
        <v/>
      </c>
      <c r="D390" t="str">
        <f t="shared" si="6"/>
        <v/>
      </c>
    </row>
    <row r="391" spans="1:4" x14ac:dyDescent="0.2">
      <c r="A391" t="str">
        <f>IF(MASTER_PRODUCTS!B391="","",MASTER_PRODUCTS!B391)</f>
        <v/>
      </c>
      <c r="B391" t="str">
        <f>IF(A391="","",SUMIFS(PRODUCTION_REPORT!C:C,PRODUCTION_REPORT!B:B,A391))</f>
        <v/>
      </c>
      <c r="C391" t="str">
        <f>IF(A391="","",SUMIFS(SALES!E:E,SALES!D:D,A391))</f>
        <v/>
      </c>
      <c r="D391" t="str">
        <f t="shared" si="6"/>
        <v/>
      </c>
    </row>
    <row r="392" spans="1:4" x14ac:dyDescent="0.2">
      <c r="A392" t="str">
        <f>IF(MASTER_PRODUCTS!B392="","",MASTER_PRODUCTS!B392)</f>
        <v/>
      </c>
      <c r="B392" t="str">
        <f>IF(A392="","",SUMIFS(PRODUCTION_REPORT!C:C,PRODUCTION_REPORT!B:B,A392))</f>
        <v/>
      </c>
      <c r="C392" t="str">
        <f>IF(A392="","",SUMIFS(SALES!E:E,SALES!D:D,A392))</f>
        <v/>
      </c>
      <c r="D392" t="str">
        <f t="shared" si="6"/>
        <v/>
      </c>
    </row>
    <row r="393" spans="1:4" x14ac:dyDescent="0.2">
      <c r="A393" t="str">
        <f>IF(MASTER_PRODUCTS!B393="","",MASTER_PRODUCTS!B393)</f>
        <v/>
      </c>
      <c r="B393" t="str">
        <f>IF(A393="","",SUMIFS(PRODUCTION_REPORT!C:C,PRODUCTION_REPORT!B:B,A393))</f>
        <v/>
      </c>
      <c r="C393" t="str">
        <f>IF(A393="","",SUMIFS(SALES!E:E,SALES!D:D,A393))</f>
        <v/>
      </c>
      <c r="D393" t="str">
        <f t="shared" si="6"/>
        <v/>
      </c>
    </row>
    <row r="394" spans="1:4" x14ac:dyDescent="0.2">
      <c r="A394" t="str">
        <f>IF(MASTER_PRODUCTS!B394="","",MASTER_PRODUCTS!B394)</f>
        <v/>
      </c>
      <c r="B394" t="str">
        <f>IF(A394="","",SUMIFS(PRODUCTION_REPORT!C:C,PRODUCTION_REPORT!B:B,A394))</f>
        <v/>
      </c>
      <c r="C394" t="str">
        <f>IF(A394="","",SUMIFS(SALES!E:E,SALES!D:D,A394))</f>
        <v/>
      </c>
      <c r="D394" t="str">
        <f t="shared" si="6"/>
        <v/>
      </c>
    </row>
    <row r="395" spans="1:4" x14ac:dyDescent="0.2">
      <c r="A395" t="str">
        <f>IF(MASTER_PRODUCTS!B395="","",MASTER_PRODUCTS!B395)</f>
        <v/>
      </c>
      <c r="B395" t="str">
        <f>IF(A395="","",SUMIFS(PRODUCTION_REPORT!C:C,PRODUCTION_REPORT!B:B,A395))</f>
        <v/>
      </c>
      <c r="C395" t="str">
        <f>IF(A395="","",SUMIFS(SALES!E:E,SALES!D:D,A395))</f>
        <v/>
      </c>
      <c r="D395" t="str">
        <f t="shared" si="6"/>
        <v/>
      </c>
    </row>
    <row r="396" spans="1:4" x14ac:dyDescent="0.2">
      <c r="A396" t="str">
        <f>IF(MASTER_PRODUCTS!B396="","",MASTER_PRODUCTS!B396)</f>
        <v/>
      </c>
      <c r="B396" t="str">
        <f>IF(A396="","",SUMIFS(PRODUCTION_REPORT!C:C,PRODUCTION_REPORT!B:B,A396))</f>
        <v/>
      </c>
      <c r="C396" t="str">
        <f>IF(A396="","",SUMIFS(SALES!E:E,SALES!D:D,A396))</f>
        <v/>
      </c>
      <c r="D396" t="str">
        <f t="shared" si="6"/>
        <v/>
      </c>
    </row>
    <row r="397" spans="1:4" x14ac:dyDescent="0.2">
      <c r="A397" t="str">
        <f>IF(MASTER_PRODUCTS!B397="","",MASTER_PRODUCTS!B397)</f>
        <v/>
      </c>
      <c r="B397" t="str">
        <f>IF(A397="","",SUMIFS(PRODUCTION_REPORT!C:C,PRODUCTION_REPORT!B:B,A397))</f>
        <v/>
      </c>
      <c r="C397" t="str">
        <f>IF(A397="","",SUMIFS(SALES!E:E,SALES!D:D,A397))</f>
        <v/>
      </c>
      <c r="D397" t="str">
        <f t="shared" si="6"/>
        <v/>
      </c>
    </row>
    <row r="398" spans="1:4" x14ac:dyDescent="0.2">
      <c r="A398" t="str">
        <f>IF(MASTER_PRODUCTS!B398="","",MASTER_PRODUCTS!B398)</f>
        <v/>
      </c>
      <c r="B398" t="str">
        <f>IF(A398="","",SUMIFS(PRODUCTION_REPORT!C:C,PRODUCTION_REPORT!B:B,A398))</f>
        <v/>
      </c>
      <c r="C398" t="str">
        <f>IF(A398="","",SUMIFS(SALES!E:E,SALES!D:D,A398))</f>
        <v/>
      </c>
      <c r="D398" t="str">
        <f t="shared" si="6"/>
        <v/>
      </c>
    </row>
    <row r="399" spans="1:4" x14ac:dyDescent="0.2">
      <c r="A399" t="str">
        <f>IF(MASTER_PRODUCTS!B399="","",MASTER_PRODUCTS!B399)</f>
        <v/>
      </c>
      <c r="B399" t="str">
        <f>IF(A399="","",SUMIFS(PRODUCTION_REPORT!C:C,PRODUCTION_REPORT!B:B,A399))</f>
        <v/>
      </c>
      <c r="C399" t="str">
        <f>IF(A399="","",SUMIFS(SALES!E:E,SALES!D:D,A399))</f>
        <v/>
      </c>
      <c r="D399" t="str">
        <f t="shared" si="6"/>
        <v/>
      </c>
    </row>
    <row r="400" spans="1:4" x14ac:dyDescent="0.2">
      <c r="A400" t="str">
        <f>IF(MASTER_PRODUCTS!B400="","",MASTER_PRODUCTS!B400)</f>
        <v/>
      </c>
      <c r="B400" t="str">
        <f>IF(A400="","",SUMIFS(PRODUCTION_REPORT!C:C,PRODUCTION_REPORT!B:B,A400))</f>
        <v/>
      </c>
      <c r="C400" t="str">
        <f>IF(A400="","",SUMIFS(SALES!E:E,SALES!D:D,A400))</f>
        <v/>
      </c>
      <c r="D400" t="str">
        <f t="shared" si="6"/>
        <v/>
      </c>
    </row>
    <row r="401" spans="1:4" x14ac:dyDescent="0.2">
      <c r="A401" t="str">
        <f>IF(MASTER_PRODUCTS!B401="","",MASTER_PRODUCTS!B401)</f>
        <v/>
      </c>
      <c r="B401" t="str">
        <f>IF(A401="","",SUMIFS(PRODUCTION_REPORT!C:C,PRODUCTION_REPORT!B:B,A401))</f>
        <v/>
      </c>
      <c r="C401" t="str">
        <f>IF(A401="","",SUMIFS(SALES!E:E,SALES!D:D,A401))</f>
        <v/>
      </c>
      <c r="D401" t="str">
        <f t="shared" si="6"/>
        <v/>
      </c>
    </row>
    <row r="402" spans="1:4" x14ac:dyDescent="0.2">
      <c r="A402" t="str">
        <f>IF(MASTER_PRODUCTS!B402="","",MASTER_PRODUCTS!B402)</f>
        <v/>
      </c>
      <c r="B402" t="str">
        <f>IF(A402="","",SUMIFS(PRODUCTION_REPORT!C:C,PRODUCTION_REPORT!B:B,A402))</f>
        <v/>
      </c>
      <c r="C402" t="str">
        <f>IF(A402="","",SUMIFS(SALES!E:E,SALES!D:D,A402))</f>
        <v/>
      </c>
      <c r="D402" t="str">
        <f t="shared" si="6"/>
        <v/>
      </c>
    </row>
    <row r="403" spans="1:4" x14ac:dyDescent="0.2">
      <c r="A403" t="str">
        <f>IF(MASTER_PRODUCTS!B403="","",MASTER_PRODUCTS!B403)</f>
        <v/>
      </c>
      <c r="B403" t="str">
        <f>IF(A403="","",SUMIFS(PRODUCTION_REPORT!C:C,PRODUCTION_REPORT!B:B,A403))</f>
        <v/>
      </c>
      <c r="C403" t="str">
        <f>IF(A403="","",SUMIFS(SALES!E:E,SALES!D:D,A403))</f>
        <v/>
      </c>
      <c r="D403" t="str">
        <f t="shared" si="6"/>
        <v/>
      </c>
    </row>
    <row r="404" spans="1:4" x14ac:dyDescent="0.2">
      <c r="A404" t="str">
        <f>IF(MASTER_PRODUCTS!B404="","",MASTER_PRODUCTS!B404)</f>
        <v/>
      </c>
      <c r="B404" t="str">
        <f>IF(A404="","",SUMIFS(PRODUCTION_REPORT!C:C,PRODUCTION_REPORT!B:B,A404))</f>
        <v/>
      </c>
      <c r="C404" t="str">
        <f>IF(A404="","",SUMIFS(SALES!E:E,SALES!D:D,A404))</f>
        <v/>
      </c>
      <c r="D404" t="str">
        <f t="shared" si="6"/>
        <v/>
      </c>
    </row>
    <row r="405" spans="1:4" x14ac:dyDescent="0.2">
      <c r="A405" t="str">
        <f>IF(MASTER_PRODUCTS!B405="","",MASTER_PRODUCTS!B405)</f>
        <v/>
      </c>
      <c r="B405" t="str">
        <f>IF(A405="","",SUMIFS(PRODUCTION_REPORT!C:C,PRODUCTION_REPORT!B:B,A405))</f>
        <v/>
      </c>
      <c r="C405" t="str">
        <f>IF(A405="","",SUMIFS(SALES!E:E,SALES!D:D,A405))</f>
        <v/>
      </c>
      <c r="D405" t="str">
        <f t="shared" si="6"/>
        <v/>
      </c>
    </row>
    <row r="406" spans="1:4" x14ac:dyDescent="0.2">
      <c r="A406" t="str">
        <f>IF(MASTER_PRODUCTS!B406="","",MASTER_PRODUCTS!B406)</f>
        <v/>
      </c>
      <c r="B406" t="str">
        <f>IF(A406="","",SUMIFS(PRODUCTION_REPORT!C:C,PRODUCTION_REPORT!B:B,A406))</f>
        <v/>
      </c>
      <c r="C406" t="str">
        <f>IF(A406="","",SUMIFS(SALES!E:E,SALES!D:D,A406))</f>
        <v/>
      </c>
      <c r="D406" t="str">
        <f t="shared" si="6"/>
        <v/>
      </c>
    </row>
    <row r="407" spans="1:4" x14ac:dyDescent="0.2">
      <c r="A407" t="str">
        <f>IF(MASTER_PRODUCTS!B407="","",MASTER_PRODUCTS!B407)</f>
        <v/>
      </c>
      <c r="B407" t="str">
        <f>IF(A407="","",SUMIFS(PRODUCTION_REPORT!C:C,PRODUCTION_REPORT!B:B,A407))</f>
        <v/>
      </c>
      <c r="C407" t="str">
        <f>IF(A407="","",SUMIFS(SALES!E:E,SALES!D:D,A407))</f>
        <v/>
      </c>
      <c r="D407" t="str">
        <f t="shared" si="6"/>
        <v/>
      </c>
    </row>
    <row r="408" spans="1:4" x14ac:dyDescent="0.2">
      <c r="A408" t="str">
        <f>IF(MASTER_PRODUCTS!B408="","",MASTER_PRODUCTS!B408)</f>
        <v/>
      </c>
      <c r="B408" t="str">
        <f>IF(A408="","",SUMIFS(PRODUCTION_REPORT!C:C,PRODUCTION_REPORT!B:B,A408))</f>
        <v/>
      </c>
      <c r="C408" t="str">
        <f>IF(A408="","",SUMIFS(SALES!E:E,SALES!D:D,A408))</f>
        <v/>
      </c>
      <c r="D408" t="str">
        <f t="shared" si="6"/>
        <v/>
      </c>
    </row>
    <row r="409" spans="1:4" x14ac:dyDescent="0.2">
      <c r="A409" t="str">
        <f>IF(MASTER_PRODUCTS!B409="","",MASTER_PRODUCTS!B409)</f>
        <v/>
      </c>
      <c r="B409" t="str">
        <f>IF(A409="","",SUMIFS(PRODUCTION_REPORT!C:C,PRODUCTION_REPORT!B:B,A409))</f>
        <v/>
      </c>
      <c r="C409" t="str">
        <f>IF(A409="","",SUMIFS(SALES!E:E,SALES!D:D,A409))</f>
        <v/>
      </c>
      <c r="D409" t="str">
        <f t="shared" si="6"/>
        <v/>
      </c>
    </row>
    <row r="410" spans="1:4" x14ac:dyDescent="0.2">
      <c r="A410" t="str">
        <f>IF(MASTER_PRODUCTS!B410="","",MASTER_PRODUCTS!B410)</f>
        <v/>
      </c>
      <c r="B410" t="str">
        <f>IF(A410="","",SUMIFS(PRODUCTION_REPORT!C:C,PRODUCTION_REPORT!B:B,A410))</f>
        <v/>
      </c>
      <c r="C410" t="str">
        <f>IF(A410="","",SUMIFS(SALES!E:E,SALES!D:D,A410))</f>
        <v/>
      </c>
      <c r="D410" t="str">
        <f t="shared" si="6"/>
        <v/>
      </c>
    </row>
    <row r="411" spans="1:4" x14ac:dyDescent="0.2">
      <c r="A411" t="str">
        <f>IF(MASTER_PRODUCTS!B411="","",MASTER_PRODUCTS!B411)</f>
        <v/>
      </c>
      <c r="B411" t="str">
        <f>IF(A411="","",SUMIFS(PRODUCTION_REPORT!C:C,PRODUCTION_REPORT!B:B,A411))</f>
        <v/>
      </c>
      <c r="C411" t="str">
        <f>IF(A411="","",SUMIFS(SALES!E:E,SALES!D:D,A411))</f>
        <v/>
      </c>
      <c r="D411" t="str">
        <f t="shared" si="6"/>
        <v/>
      </c>
    </row>
    <row r="412" spans="1:4" x14ac:dyDescent="0.2">
      <c r="A412" t="str">
        <f>IF(MASTER_PRODUCTS!B412="","",MASTER_PRODUCTS!B412)</f>
        <v/>
      </c>
      <c r="B412" t="str">
        <f>IF(A412="","",SUMIFS(PRODUCTION_REPORT!C:C,PRODUCTION_REPORT!B:B,A412))</f>
        <v/>
      </c>
      <c r="C412" t="str">
        <f>IF(A412="","",SUMIFS(SALES!E:E,SALES!D:D,A412))</f>
        <v/>
      </c>
      <c r="D412" t="str">
        <f t="shared" si="6"/>
        <v/>
      </c>
    </row>
    <row r="413" spans="1:4" x14ac:dyDescent="0.2">
      <c r="A413" t="str">
        <f>IF(MASTER_PRODUCTS!B413="","",MASTER_PRODUCTS!B413)</f>
        <v/>
      </c>
      <c r="B413" t="str">
        <f>IF(A413="","",SUMIFS(PRODUCTION_REPORT!C:C,PRODUCTION_REPORT!B:B,A413))</f>
        <v/>
      </c>
      <c r="C413" t="str">
        <f>IF(A413="","",SUMIFS(SALES!E:E,SALES!D:D,A413))</f>
        <v/>
      </c>
      <c r="D413" t="str">
        <f t="shared" si="6"/>
        <v/>
      </c>
    </row>
    <row r="414" spans="1:4" x14ac:dyDescent="0.2">
      <c r="A414" t="str">
        <f>IF(MASTER_PRODUCTS!B414="","",MASTER_PRODUCTS!B414)</f>
        <v/>
      </c>
      <c r="B414" t="str">
        <f>IF(A414="","",SUMIFS(PRODUCTION_REPORT!C:C,PRODUCTION_REPORT!B:B,A414))</f>
        <v/>
      </c>
      <c r="C414" t="str">
        <f>IF(A414="","",SUMIFS(SALES!E:E,SALES!D:D,A414))</f>
        <v/>
      </c>
      <c r="D414" t="str">
        <f t="shared" si="6"/>
        <v/>
      </c>
    </row>
    <row r="415" spans="1:4" x14ac:dyDescent="0.2">
      <c r="A415" t="str">
        <f>IF(MASTER_PRODUCTS!B415="","",MASTER_PRODUCTS!B415)</f>
        <v/>
      </c>
      <c r="B415" t="str">
        <f>IF(A415="","",SUMIFS(PRODUCTION_REPORT!C:C,PRODUCTION_REPORT!B:B,A415))</f>
        <v/>
      </c>
      <c r="C415" t="str">
        <f>IF(A415="","",SUMIFS(SALES!E:E,SALES!D:D,A415))</f>
        <v/>
      </c>
      <c r="D415" t="str">
        <f t="shared" si="6"/>
        <v/>
      </c>
    </row>
    <row r="416" spans="1:4" x14ac:dyDescent="0.2">
      <c r="A416" t="str">
        <f>IF(MASTER_PRODUCTS!B416="","",MASTER_PRODUCTS!B416)</f>
        <v/>
      </c>
      <c r="B416" t="str">
        <f>IF(A416="","",SUMIFS(PRODUCTION_REPORT!C:C,PRODUCTION_REPORT!B:B,A416))</f>
        <v/>
      </c>
      <c r="C416" t="str">
        <f>IF(A416="","",SUMIFS(SALES!E:E,SALES!D:D,A416))</f>
        <v/>
      </c>
      <c r="D416" t="str">
        <f t="shared" si="6"/>
        <v/>
      </c>
    </row>
    <row r="417" spans="1:4" x14ac:dyDescent="0.2">
      <c r="A417" t="str">
        <f>IF(MASTER_PRODUCTS!B417="","",MASTER_PRODUCTS!B417)</f>
        <v/>
      </c>
      <c r="B417" t="str">
        <f>IF(A417="","",SUMIFS(PRODUCTION_REPORT!C:C,PRODUCTION_REPORT!B:B,A417))</f>
        <v/>
      </c>
      <c r="C417" t="str">
        <f>IF(A417="","",SUMIFS(SALES!E:E,SALES!D:D,A417))</f>
        <v/>
      </c>
      <c r="D417" t="str">
        <f t="shared" si="6"/>
        <v/>
      </c>
    </row>
    <row r="418" spans="1:4" x14ac:dyDescent="0.2">
      <c r="A418" t="str">
        <f>IF(MASTER_PRODUCTS!B418="","",MASTER_PRODUCTS!B418)</f>
        <v/>
      </c>
      <c r="B418" t="str">
        <f>IF(A418="","",SUMIFS(PRODUCTION_REPORT!C:C,PRODUCTION_REPORT!B:B,A418))</f>
        <v/>
      </c>
      <c r="C418" t="str">
        <f>IF(A418="","",SUMIFS(SALES!E:E,SALES!D:D,A418))</f>
        <v/>
      </c>
      <c r="D418" t="str">
        <f t="shared" si="6"/>
        <v/>
      </c>
    </row>
    <row r="419" spans="1:4" x14ac:dyDescent="0.2">
      <c r="A419" t="str">
        <f>IF(MASTER_PRODUCTS!B419="","",MASTER_PRODUCTS!B419)</f>
        <v/>
      </c>
      <c r="B419" t="str">
        <f>IF(A419="","",SUMIFS(PRODUCTION_REPORT!C:C,PRODUCTION_REPORT!B:B,A419))</f>
        <v/>
      </c>
      <c r="C419" t="str">
        <f>IF(A419="","",SUMIFS(SALES!E:E,SALES!D:D,A419))</f>
        <v/>
      </c>
      <c r="D419" t="str">
        <f t="shared" si="6"/>
        <v/>
      </c>
    </row>
    <row r="420" spans="1:4" x14ac:dyDescent="0.2">
      <c r="A420" t="str">
        <f>IF(MASTER_PRODUCTS!B420="","",MASTER_PRODUCTS!B420)</f>
        <v/>
      </c>
      <c r="B420" t="str">
        <f>IF(A420="","",SUMIFS(PRODUCTION_REPORT!C:C,PRODUCTION_REPORT!B:B,A420))</f>
        <v/>
      </c>
      <c r="C420" t="str">
        <f>IF(A420="","",SUMIFS(SALES!E:E,SALES!D:D,A420))</f>
        <v/>
      </c>
      <c r="D420" t="str">
        <f t="shared" si="6"/>
        <v/>
      </c>
    </row>
    <row r="421" spans="1:4" x14ac:dyDescent="0.2">
      <c r="A421" t="str">
        <f>IF(MASTER_PRODUCTS!B421="","",MASTER_PRODUCTS!B421)</f>
        <v/>
      </c>
      <c r="B421" t="str">
        <f>IF(A421="","",SUMIFS(PRODUCTION_REPORT!C:C,PRODUCTION_REPORT!B:B,A421))</f>
        <v/>
      </c>
      <c r="C421" t="str">
        <f>IF(A421="","",SUMIFS(SALES!E:E,SALES!D:D,A421))</f>
        <v/>
      </c>
      <c r="D421" t="str">
        <f t="shared" si="6"/>
        <v/>
      </c>
    </row>
    <row r="422" spans="1:4" x14ac:dyDescent="0.2">
      <c r="A422" t="str">
        <f>IF(MASTER_PRODUCTS!B422="","",MASTER_PRODUCTS!B422)</f>
        <v/>
      </c>
      <c r="B422" t="str">
        <f>IF(A422="","",SUMIFS(PRODUCTION_REPORT!C:C,PRODUCTION_REPORT!B:B,A422))</f>
        <v/>
      </c>
      <c r="C422" t="str">
        <f>IF(A422="","",SUMIFS(SALES!E:E,SALES!D:D,A422))</f>
        <v/>
      </c>
      <c r="D422" t="str">
        <f t="shared" si="6"/>
        <v/>
      </c>
    </row>
    <row r="423" spans="1:4" x14ac:dyDescent="0.2">
      <c r="A423" t="str">
        <f>IF(MASTER_PRODUCTS!B423="","",MASTER_PRODUCTS!B423)</f>
        <v/>
      </c>
      <c r="B423" t="str">
        <f>IF(A423="","",SUMIFS(PRODUCTION_REPORT!C:C,PRODUCTION_REPORT!B:B,A423))</f>
        <v/>
      </c>
      <c r="C423" t="str">
        <f>IF(A423="","",SUMIFS(SALES!E:E,SALES!D:D,A423))</f>
        <v/>
      </c>
      <c r="D423" t="str">
        <f t="shared" si="6"/>
        <v/>
      </c>
    </row>
    <row r="424" spans="1:4" x14ac:dyDescent="0.2">
      <c r="A424" t="str">
        <f>IF(MASTER_PRODUCTS!B424="","",MASTER_PRODUCTS!B424)</f>
        <v/>
      </c>
      <c r="B424" t="str">
        <f>IF(A424="","",SUMIFS(PRODUCTION_REPORT!C:C,PRODUCTION_REPORT!B:B,A424))</f>
        <v/>
      </c>
      <c r="C424" t="str">
        <f>IF(A424="","",SUMIFS(SALES!E:E,SALES!D:D,A424))</f>
        <v/>
      </c>
      <c r="D424" t="str">
        <f t="shared" si="6"/>
        <v/>
      </c>
    </row>
    <row r="425" spans="1:4" x14ac:dyDescent="0.2">
      <c r="A425" t="str">
        <f>IF(MASTER_PRODUCTS!B425="","",MASTER_PRODUCTS!B425)</f>
        <v/>
      </c>
      <c r="B425" t="str">
        <f>IF(A425="","",SUMIFS(PRODUCTION_REPORT!C:C,PRODUCTION_REPORT!B:B,A425))</f>
        <v/>
      </c>
      <c r="C425" t="str">
        <f>IF(A425="","",SUMIFS(SALES!E:E,SALES!D:D,A425))</f>
        <v/>
      </c>
      <c r="D425" t="str">
        <f t="shared" si="6"/>
        <v/>
      </c>
    </row>
    <row r="426" spans="1:4" x14ac:dyDescent="0.2">
      <c r="A426" t="str">
        <f>IF(MASTER_PRODUCTS!B426="","",MASTER_PRODUCTS!B426)</f>
        <v/>
      </c>
      <c r="B426" t="str">
        <f>IF(A426="","",SUMIFS(PRODUCTION_REPORT!C:C,PRODUCTION_REPORT!B:B,A426))</f>
        <v/>
      </c>
      <c r="C426" t="str">
        <f>IF(A426="","",SUMIFS(SALES!E:E,SALES!D:D,A426))</f>
        <v/>
      </c>
      <c r="D426" t="str">
        <f t="shared" si="6"/>
        <v/>
      </c>
    </row>
    <row r="427" spans="1:4" x14ac:dyDescent="0.2">
      <c r="A427" t="str">
        <f>IF(MASTER_PRODUCTS!B427="","",MASTER_PRODUCTS!B427)</f>
        <v/>
      </c>
      <c r="B427" t="str">
        <f>IF(A427="","",SUMIFS(PRODUCTION_REPORT!C:C,PRODUCTION_REPORT!B:B,A427))</f>
        <v/>
      </c>
      <c r="C427" t="str">
        <f>IF(A427="","",SUMIFS(SALES!E:E,SALES!D:D,A427))</f>
        <v/>
      </c>
      <c r="D427" t="str">
        <f t="shared" si="6"/>
        <v/>
      </c>
    </row>
    <row r="428" spans="1:4" x14ac:dyDescent="0.2">
      <c r="A428" t="str">
        <f>IF(MASTER_PRODUCTS!B428="","",MASTER_PRODUCTS!B428)</f>
        <v/>
      </c>
      <c r="B428" t="str">
        <f>IF(A428="","",SUMIFS(PRODUCTION_REPORT!C:C,PRODUCTION_REPORT!B:B,A428))</f>
        <v/>
      </c>
      <c r="C428" t="str">
        <f>IF(A428="","",SUMIFS(SALES!E:E,SALES!D:D,A428))</f>
        <v/>
      </c>
      <c r="D428" t="str">
        <f t="shared" si="6"/>
        <v/>
      </c>
    </row>
    <row r="429" spans="1:4" x14ac:dyDescent="0.2">
      <c r="A429" t="str">
        <f>IF(MASTER_PRODUCTS!B429="","",MASTER_PRODUCTS!B429)</f>
        <v/>
      </c>
      <c r="B429" t="str">
        <f>IF(A429="","",SUMIFS(PRODUCTION_REPORT!C:C,PRODUCTION_REPORT!B:B,A429))</f>
        <v/>
      </c>
      <c r="C429" t="str">
        <f>IF(A429="","",SUMIFS(SALES!E:E,SALES!D:D,A429))</f>
        <v/>
      </c>
      <c r="D429" t="str">
        <f t="shared" si="6"/>
        <v/>
      </c>
    </row>
    <row r="430" spans="1:4" x14ac:dyDescent="0.2">
      <c r="A430" t="str">
        <f>IF(MASTER_PRODUCTS!B430="","",MASTER_PRODUCTS!B430)</f>
        <v/>
      </c>
      <c r="B430" t="str">
        <f>IF(A430="","",SUMIFS(PRODUCTION_REPORT!C:C,PRODUCTION_REPORT!B:B,A430))</f>
        <v/>
      </c>
      <c r="C430" t="str">
        <f>IF(A430="","",SUMIFS(SALES!E:E,SALES!D:D,A430))</f>
        <v/>
      </c>
      <c r="D430" t="str">
        <f t="shared" si="6"/>
        <v/>
      </c>
    </row>
    <row r="431" spans="1:4" x14ac:dyDescent="0.2">
      <c r="A431" t="str">
        <f>IF(MASTER_PRODUCTS!B431="","",MASTER_PRODUCTS!B431)</f>
        <v/>
      </c>
      <c r="B431" t="str">
        <f>IF(A431="","",SUMIFS(PRODUCTION_REPORT!C:C,PRODUCTION_REPORT!B:B,A431))</f>
        <v/>
      </c>
      <c r="C431" t="str">
        <f>IF(A431="","",SUMIFS(SALES!E:E,SALES!D:D,A431))</f>
        <v/>
      </c>
      <c r="D431" t="str">
        <f t="shared" si="6"/>
        <v/>
      </c>
    </row>
    <row r="432" spans="1:4" x14ac:dyDescent="0.2">
      <c r="A432" t="str">
        <f>IF(MASTER_PRODUCTS!B432="","",MASTER_PRODUCTS!B432)</f>
        <v/>
      </c>
      <c r="B432" t="str">
        <f>IF(A432="","",SUMIFS(PRODUCTION_REPORT!C:C,PRODUCTION_REPORT!B:B,A432))</f>
        <v/>
      </c>
      <c r="C432" t="str">
        <f>IF(A432="","",SUMIFS(SALES!E:E,SALES!D:D,A432))</f>
        <v/>
      </c>
      <c r="D432" t="str">
        <f t="shared" si="6"/>
        <v/>
      </c>
    </row>
    <row r="433" spans="1:4" x14ac:dyDescent="0.2">
      <c r="A433" t="str">
        <f>IF(MASTER_PRODUCTS!B433="","",MASTER_PRODUCTS!B433)</f>
        <v/>
      </c>
      <c r="B433" t="str">
        <f>IF(A433="","",SUMIFS(PRODUCTION_REPORT!C:C,PRODUCTION_REPORT!B:B,A433))</f>
        <v/>
      </c>
      <c r="C433" t="str">
        <f>IF(A433="","",SUMIFS(SALES!E:E,SALES!D:D,A433))</f>
        <v/>
      </c>
      <c r="D433" t="str">
        <f t="shared" si="6"/>
        <v/>
      </c>
    </row>
    <row r="434" spans="1:4" x14ac:dyDescent="0.2">
      <c r="A434" t="str">
        <f>IF(MASTER_PRODUCTS!B434="","",MASTER_PRODUCTS!B434)</f>
        <v/>
      </c>
      <c r="B434" t="str">
        <f>IF(A434="","",SUMIFS(PRODUCTION_REPORT!C:C,PRODUCTION_REPORT!B:B,A434))</f>
        <v/>
      </c>
      <c r="C434" t="str">
        <f>IF(A434="","",SUMIFS(SALES!E:E,SALES!D:D,A434))</f>
        <v/>
      </c>
      <c r="D434" t="str">
        <f t="shared" si="6"/>
        <v/>
      </c>
    </row>
    <row r="435" spans="1:4" x14ac:dyDescent="0.2">
      <c r="A435" t="str">
        <f>IF(MASTER_PRODUCTS!B435="","",MASTER_PRODUCTS!B435)</f>
        <v/>
      </c>
      <c r="B435" t="str">
        <f>IF(A435="","",SUMIFS(PRODUCTION_REPORT!C:C,PRODUCTION_REPORT!B:B,A435))</f>
        <v/>
      </c>
      <c r="C435" t="str">
        <f>IF(A435="","",SUMIFS(SALES!E:E,SALES!D:D,A435))</f>
        <v/>
      </c>
      <c r="D435" t="str">
        <f t="shared" si="6"/>
        <v/>
      </c>
    </row>
    <row r="436" spans="1:4" x14ac:dyDescent="0.2">
      <c r="A436" t="str">
        <f>IF(MASTER_PRODUCTS!B436="","",MASTER_PRODUCTS!B436)</f>
        <v/>
      </c>
      <c r="B436" t="str">
        <f>IF(A436="","",SUMIFS(PRODUCTION_REPORT!C:C,PRODUCTION_REPORT!B:B,A436))</f>
        <v/>
      </c>
      <c r="C436" t="str">
        <f>IF(A436="","",SUMIFS(SALES!E:E,SALES!D:D,A436))</f>
        <v/>
      </c>
      <c r="D436" t="str">
        <f t="shared" si="6"/>
        <v/>
      </c>
    </row>
    <row r="437" spans="1:4" x14ac:dyDescent="0.2">
      <c r="A437" t="str">
        <f>IF(MASTER_PRODUCTS!B437="","",MASTER_PRODUCTS!B437)</f>
        <v/>
      </c>
      <c r="B437" t="str">
        <f>IF(A437="","",SUMIFS(PRODUCTION_REPORT!C:C,PRODUCTION_REPORT!B:B,A437))</f>
        <v/>
      </c>
      <c r="C437" t="str">
        <f>IF(A437="","",SUMIFS(SALES!E:E,SALES!D:D,A437))</f>
        <v/>
      </c>
      <c r="D437" t="str">
        <f t="shared" si="6"/>
        <v/>
      </c>
    </row>
    <row r="438" spans="1:4" x14ac:dyDescent="0.2">
      <c r="A438" t="str">
        <f>IF(MASTER_PRODUCTS!B438="","",MASTER_PRODUCTS!B438)</f>
        <v/>
      </c>
      <c r="B438" t="str">
        <f>IF(A438="","",SUMIFS(PRODUCTION_REPORT!C:C,PRODUCTION_REPORT!B:B,A438))</f>
        <v/>
      </c>
      <c r="C438" t="str">
        <f>IF(A438="","",SUMIFS(SALES!E:E,SALES!D:D,A438))</f>
        <v/>
      </c>
      <c r="D438" t="str">
        <f t="shared" si="6"/>
        <v/>
      </c>
    </row>
    <row r="439" spans="1:4" x14ac:dyDescent="0.2">
      <c r="A439" t="str">
        <f>IF(MASTER_PRODUCTS!B439="","",MASTER_PRODUCTS!B439)</f>
        <v/>
      </c>
      <c r="B439" t="str">
        <f>IF(A439="","",SUMIFS(PRODUCTION_REPORT!C:C,PRODUCTION_REPORT!B:B,A439))</f>
        <v/>
      </c>
      <c r="C439" t="str">
        <f>IF(A439="","",SUMIFS(SALES!E:E,SALES!D:D,A439))</f>
        <v/>
      </c>
      <c r="D439" t="str">
        <f t="shared" si="6"/>
        <v/>
      </c>
    </row>
    <row r="440" spans="1:4" x14ac:dyDescent="0.2">
      <c r="A440" t="str">
        <f>IF(MASTER_PRODUCTS!B440="","",MASTER_PRODUCTS!B440)</f>
        <v/>
      </c>
      <c r="B440" t="str">
        <f>IF(A440="","",SUMIFS(PRODUCTION_REPORT!C:C,PRODUCTION_REPORT!B:B,A440))</f>
        <v/>
      </c>
      <c r="C440" t="str">
        <f>IF(A440="","",SUMIFS(SALES!E:E,SALES!D:D,A440))</f>
        <v/>
      </c>
      <c r="D440" t="str">
        <f t="shared" si="6"/>
        <v/>
      </c>
    </row>
    <row r="441" spans="1:4" x14ac:dyDescent="0.2">
      <c r="A441" t="str">
        <f>IF(MASTER_PRODUCTS!B441="","",MASTER_PRODUCTS!B441)</f>
        <v/>
      </c>
      <c r="B441" t="str">
        <f>IF(A441="","",SUMIFS(PRODUCTION_REPORT!C:C,PRODUCTION_REPORT!B:B,A441))</f>
        <v/>
      </c>
      <c r="C441" t="str">
        <f>IF(A441="","",SUMIFS(SALES!E:E,SALES!D:D,A441))</f>
        <v/>
      </c>
      <c r="D441" t="str">
        <f t="shared" si="6"/>
        <v/>
      </c>
    </row>
    <row r="442" spans="1:4" x14ac:dyDescent="0.2">
      <c r="A442" t="str">
        <f>IF(MASTER_PRODUCTS!B442="","",MASTER_PRODUCTS!B442)</f>
        <v/>
      </c>
      <c r="B442" t="str">
        <f>IF(A442="","",SUMIFS(PRODUCTION_REPORT!C:C,PRODUCTION_REPORT!B:B,A442))</f>
        <v/>
      </c>
      <c r="C442" t="str">
        <f>IF(A442="","",SUMIFS(SALES!E:E,SALES!D:D,A442))</f>
        <v/>
      </c>
      <c r="D442" t="str">
        <f t="shared" si="6"/>
        <v/>
      </c>
    </row>
    <row r="443" spans="1:4" x14ac:dyDescent="0.2">
      <c r="A443" t="str">
        <f>IF(MASTER_PRODUCTS!B443="","",MASTER_PRODUCTS!B443)</f>
        <v/>
      </c>
      <c r="B443" t="str">
        <f>IF(A443="","",SUMIFS(PRODUCTION_REPORT!C:C,PRODUCTION_REPORT!B:B,A443))</f>
        <v/>
      </c>
      <c r="C443" t="str">
        <f>IF(A443="","",SUMIFS(SALES!E:E,SALES!D:D,A443))</f>
        <v/>
      </c>
      <c r="D443" t="str">
        <f t="shared" si="6"/>
        <v/>
      </c>
    </row>
    <row r="444" spans="1:4" x14ac:dyDescent="0.2">
      <c r="A444" t="str">
        <f>IF(MASTER_PRODUCTS!B444="","",MASTER_PRODUCTS!B444)</f>
        <v/>
      </c>
      <c r="B444" t="str">
        <f>IF(A444="","",SUMIFS(PRODUCTION_REPORT!C:C,PRODUCTION_REPORT!B:B,A444))</f>
        <v/>
      </c>
      <c r="C444" t="str">
        <f>IF(A444="","",SUMIFS(SALES!E:E,SALES!D:D,A444))</f>
        <v/>
      </c>
      <c r="D444" t="str">
        <f t="shared" si="6"/>
        <v/>
      </c>
    </row>
    <row r="445" spans="1:4" x14ac:dyDescent="0.2">
      <c r="A445" t="str">
        <f>IF(MASTER_PRODUCTS!B445="","",MASTER_PRODUCTS!B445)</f>
        <v/>
      </c>
      <c r="B445" t="str">
        <f>IF(A445="","",SUMIFS(PRODUCTION_REPORT!C:C,PRODUCTION_REPORT!B:B,A445))</f>
        <v/>
      </c>
      <c r="C445" t="str">
        <f>IF(A445="","",SUMIFS(SALES!E:E,SALES!D:D,A445))</f>
        <v/>
      </c>
      <c r="D445" t="str">
        <f t="shared" si="6"/>
        <v/>
      </c>
    </row>
    <row r="446" spans="1:4" x14ac:dyDescent="0.2">
      <c r="A446" t="str">
        <f>IF(MASTER_PRODUCTS!B446="","",MASTER_PRODUCTS!B446)</f>
        <v/>
      </c>
      <c r="B446" t="str">
        <f>IF(A446="","",SUMIFS(PRODUCTION_REPORT!C:C,PRODUCTION_REPORT!B:B,A446))</f>
        <v/>
      </c>
      <c r="C446" t="str">
        <f>IF(A446="","",SUMIFS(SALES!E:E,SALES!D:D,A446))</f>
        <v/>
      </c>
      <c r="D446" t="str">
        <f t="shared" si="6"/>
        <v/>
      </c>
    </row>
    <row r="447" spans="1:4" x14ac:dyDescent="0.2">
      <c r="A447" t="str">
        <f>IF(MASTER_PRODUCTS!B447="","",MASTER_PRODUCTS!B447)</f>
        <v/>
      </c>
      <c r="B447" t="str">
        <f>IF(A447="","",SUMIFS(PRODUCTION_REPORT!C:C,PRODUCTION_REPORT!B:B,A447))</f>
        <v/>
      </c>
      <c r="C447" t="str">
        <f>IF(A447="","",SUMIFS(SALES!E:E,SALES!D:D,A447))</f>
        <v/>
      </c>
      <c r="D447" t="str">
        <f t="shared" si="6"/>
        <v/>
      </c>
    </row>
    <row r="448" spans="1:4" x14ac:dyDescent="0.2">
      <c r="A448" t="str">
        <f>IF(MASTER_PRODUCTS!B448="","",MASTER_PRODUCTS!B448)</f>
        <v/>
      </c>
      <c r="B448" t="str">
        <f>IF(A448="","",SUMIFS(PRODUCTION_REPORT!C:C,PRODUCTION_REPORT!B:B,A448))</f>
        <v/>
      </c>
      <c r="C448" t="str">
        <f>IF(A448="","",SUMIFS(SALES!E:E,SALES!D:D,A448))</f>
        <v/>
      </c>
      <c r="D448" t="str">
        <f t="shared" si="6"/>
        <v/>
      </c>
    </row>
    <row r="449" spans="1:4" x14ac:dyDescent="0.2">
      <c r="A449" t="str">
        <f>IF(MASTER_PRODUCTS!B449="","",MASTER_PRODUCTS!B449)</f>
        <v/>
      </c>
      <c r="B449" t="str">
        <f>IF(A449="","",SUMIFS(PRODUCTION_REPORT!C:C,PRODUCTION_REPORT!B:B,A449))</f>
        <v/>
      </c>
      <c r="C449" t="str">
        <f>IF(A449="","",SUMIFS(SALES!E:E,SALES!D:D,A449))</f>
        <v/>
      </c>
      <c r="D449" t="str">
        <f t="shared" si="6"/>
        <v/>
      </c>
    </row>
    <row r="450" spans="1:4" x14ac:dyDescent="0.2">
      <c r="A450" t="str">
        <f>IF(MASTER_PRODUCTS!B450="","",MASTER_PRODUCTS!B450)</f>
        <v/>
      </c>
      <c r="B450" t="str">
        <f>IF(A450="","",SUMIFS(PRODUCTION_REPORT!C:C,PRODUCTION_REPORT!B:B,A450))</f>
        <v/>
      </c>
      <c r="C450" t="str">
        <f>IF(A450="","",SUMIFS(SALES!E:E,SALES!D:D,A450))</f>
        <v/>
      </c>
      <c r="D450" t="str">
        <f t="shared" ref="D450:D499" si="7">IF(A450="","",B450-C450)</f>
        <v/>
      </c>
    </row>
    <row r="451" spans="1:4" x14ac:dyDescent="0.2">
      <c r="A451" t="str">
        <f>IF(MASTER_PRODUCTS!B451="","",MASTER_PRODUCTS!B451)</f>
        <v/>
      </c>
      <c r="B451" t="str">
        <f>IF(A451="","",SUMIFS(PRODUCTION_REPORT!C:C,PRODUCTION_REPORT!B:B,A451))</f>
        <v/>
      </c>
      <c r="C451" t="str">
        <f>IF(A451="","",SUMIFS(SALES!E:E,SALES!D:D,A451))</f>
        <v/>
      </c>
      <c r="D451" t="str">
        <f t="shared" si="7"/>
        <v/>
      </c>
    </row>
    <row r="452" spans="1:4" x14ac:dyDescent="0.2">
      <c r="A452" t="str">
        <f>IF(MASTER_PRODUCTS!B452="","",MASTER_PRODUCTS!B452)</f>
        <v/>
      </c>
      <c r="B452" t="str">
        <f>IF(A452="","",SUMIFS(PRODUCTION_REPORT!C:C,PRODUCTION_REPORT!B:B,A452))</f>
        <v/>
      </c>
      <c r="C452" t="str">
        <f>IF(A452="","",SUMIFS(SALES!E:E,SALES!D:D,A452))</f>
        <v/>
      </c>
      <c r="D452" t="str">
        <f t="shared" si="7"/>
        <v/>
      </c>
    </row>
    <row r="453" spans="1:4" x14ac:dyDescent="0.2">
      <c r="A453" t="str">
        <f>IF(MASTER_PRODUCTS!B453="","",MASTER_PRODUCTS!B453)</f>
        <v/>
      </c>
      <c r="B453" t="str">
        <f>IF(A453="","",SUMIFS(PRODUCTION_REPORT!C:C,PRODUCTION_REPORT!B:B,A453))</f>
        <v/>
      </c>
      <c r="C453" t="str">
        <f>IF(A453="","",SUMIFS(SALES!E:E,SALES!D:D,A453))</f>
        <v/>
      </c>
      <c r="D453" t="str">
        <f t="shared" si="7"/>
        <v/>
      </c>
    </row>
    <row r="454" spans="1:4" x14ac:dyDescent="0.2">
      <c r="A454" t="str">
        <f>IF(MASTER_PRODUCTS!B454="","",MASTER_PRODUCTS!B454)</f>
        <v/>
      </c>
      <c r="B454" t="str">
        <f>IF(A454="","",SUMIFS(PRODUCTION_REPORT!C:C,PRODUCTION_REPORT!B:B,A454))</f>
        <v/>
      </c>
      <c r="C454" t="str">
        <f>IF(A454="","",SUMIFS(SALES!E:E,SALES!D:D,A454))</f>
        <v/>
      </c>
      <c r="D454" t="str">
        <f t="shared" si="7"/>
        <v/>
      </c>
    </row>
    <row r="455" spans="1:4" x14ac:dyDescent="0.2">
      <c r="A455" t="str">
        <f>IF(MASTER_PRODUCTS!B455="","",MASTER_PRODUCTS!B455)</f>
        <v/>
      </c>
      <c r="B455" t="str">
        <f>IF(A455="","",SUMIFS(PRODUCTION_REPORT!C:C,PRODUCTION_REPORT!B:B,A455))</f>
        <v/>
      </c>
      <c r="C455" t="str">
        <f>IF(A455="","",SUMIFS(SALES!E:E,SALES!D:D,A455))</f>
        <v/>
      </c>
      <c r="D455" t="str">
        <f t="shared" si="7"/>
        <v/>
      </c>
    </row>
    <row r="456" spans="1:4" x14ac:dyDescent="0.2">
      <c r="A456" t="str">
        <f>IF(MASTER_PRODUCTS!B456="","",MASTER_PRODUCTS!B456)</f>
        <v/>
      </c>
      <c r="B456" t="str">
        <f>IF(A456="","",SUMIFS(PRODUCTION_REPORT!C:C,PRODUCTION_REPORT!B:B,A456))</f>
        <v/>
      </c>
      <c r="C456" t="str">
        <f>IF(A456="","",SUMIFS(SALES!E:E,SALES!D:D,A456))</f>
        <v/>
      </c>
      <c r="D456" t="str">
        <f t="shared" si="7"/>
        <v/>
      </c>
    </row>
    <row r="457" spans="1:4" x14ac:dyDescent="0.2">
      <c r="A457" t="str">
        <f>IF(MASTER_PRODUCTS!B457="","",MASTER_PRODUCTS!B457)</f>
        <v/>
      </c>
      <c r="B457" t="str">
        <f>IF(A457="","",SUMIFS(PRODUCTION_REPORT!C:C,PRODUCTION_REPORT!B:B,A457))</f>
        <v/>
      </c>
      <c r="C457" t="str">
        <f>IF(A457="","",SUMIFS(SALES!E:E,SALES!D:D,A457))</f>
        <v/>
      </c>
      <c r="D457" t="str">
        <f t="shared" si="7"/>
        <v/>
      </c>
    </row>
    <row r="458" spans="1:4" x14ac:dyDescent="0.2">
      <c r="A458" t="str">
        <f>IF(MASTER_PRODUCTS!B458="","",MASTER_PRODUCTS!B458)</f>
        <v/>
      </c>
      <c r="B458" t="str">
        <f>IF(A458="","",SUMIFS(PRODUCTION_REPORT!C:C,PRODUCTION_REPORT!B:B,A458))</f>
        <v/>
      </c>
      <c r="C458" t="str">
        <f>IF(A458="","",SUMIFS(SALES!E:E,SALES!D:D,A458))</f>
        <v/>
      </c>
      <c r="D458" t="str">
        <f t="shared" si="7"/>
        <v/>
      </c>
    </row>
    <row r="459" spans="1:4" x14ac:dyDescent="0.2">
      <c r="A459" t="str">
        <f>IF(MASTER_PRODUCTS!B459="","",MASTER_PRODUCTS!B459)</f>
        <v/>
      </c>
      <c r="B459" t="str">
        <f>IF(A459="","",SUMIFS(PRODUCTION_REPORT!C:C,PRODUCTION_REPORT!B:B,A459))</f>
        <v/>
      </c>
      <c r="C459" t="str">
        <f>IF(A459="","",SUMIFS(SALES!E:E,SALES!D:D,A459))</f>
        <v/>
      </c>
      <c r="D459" t="str">
        <f t="shared" si="7"/>
        <v/>
      </c>
    </row>
    <row r="460" spans="1:4" x14ac:dyDescent="0.2">
      <c r="A460" t="str">
        <f>IF(MASTER_PRODUCTS!B460="","",MASTER_PRODUCTS!B460)</f>
        <v/>
      </c>
      <c r="B460" t="str">
        <f>IF(A460="","",SUMIFS(PRODUCTION_REPORT!C:C,PRODUCTION_REPORT!B:B,A460))</f>
        <v/>
      </c>
      <c r="C460" t="str">
        <f>IF(A460="","",SUMIFS(SALES!E:E,SALES!D:D,A460))</f>
        <v/>
      </c>
      <c r="D460" t="str">
        <f t="shared" si="7"/>
        <v/>
      </c>
    </row>
    <row r="461" spans="1:4" x14ac:dyDescent="0.2">
      <c r="A461" t="str">
        <f>IF(MASTER_PRODUCTS!B461="","",MASTER_PRODUCTS!B461)</f>
        <v/>
      </c>
      <c r="B461" t="str">
        <f>IF(A461="","",SUMIFS(PRODUCTION_REPORT!C:C,PRODUCTION_REPORT!B:B,A461))</f>
        <v/>
      </c>
      <c r="C461" t="str">
        <f>IF(A461="","",SUMIFS(SALES!E:E,SALES!D:D,A461))</f>
        <v/>
      </c>
      <c r="D461" t="str">
        <f t="shared" si="7"/>
        <v/>
      </c>
    </row>
    <row r="462" spans="1:4" x14ac:dyDescent="0.2">
      <c r="A462" t="str">
        <f>IF(MASTER_PRODUCTS!B462="","",MASTER_PRODUCTS!B462)</f>
        <v/>
      </c>
      <c r="B462" t="str">
        <f>IF(A462="","",SUMIFS(PRODUCTION_REPORT!C:C,PRODUCTION_REPORT!B:B,A462))</f>
        <v/>
      </c>
      <c r="C462" t="str">
        <f>IF(A462="","",SUMIFS(SALES!E:E,SALES!D:D,A462))</f>
        <v/>
      </c>
      <c r="D462" t="str">
        <f t="shared" si="7"/>
        <v/>
      </c>
    </row>
    <row r="463" spans="1:4" x14ac:dyDescent="0.2">
      <c r="A463" t="str">
        <f>IF(MASTER_PRODUCTS!B463="","",MASTER_PRODUCTS!B463)</f>
        <v/>
      </c>
      <c r="B463" t="str">
        <f>IF(A463="","",SUMIFS(PRODUCTION_REPORT!C:C,PRODUCTION_REPORT!B:B,A463))</f>
        <v/>
      </c>
      <c r="C463" t="str">
        <f>IF(A463="","",SUMIFS(SALES!E:E,SALES!D:D,A463))</f>
        <v/>
      </c>
      <c r="D463" t="str">
        <f t="shared" si="7"/>
        <v/>
      </c>
    </row>
    <row r="464" spans="1:4" x14ac:dyDescent="0.2">
      <c r="A464" t="str">
        <f>IF(MASTER_PRODUCTS!B464="","",MASTER_PRODUCTS!B464)</f>
        <v/>
      </c>
      <c r="B464" t="str">
        <f>IF(A464="","",SUMIFS(PRODUCTION_REPORT!C:C,PRODUCTION_REPORT!B:B,A464))</f>
        <v/>
      </c>
      <c r="C464" t="str">
        <f>IF(A464="","",SUMIFS(SALES!E:E,SALES!D:D,A464))</f>
        <v/>
      </c>
      <c r="D464" t="str">
        <f t="shared" si="7"/>
        <v/>
      </c>
    </row>
    <row r="465" spans="1:4" x14ac:dyDescent="0.2">
      <c r="A465" t="str">
        <f>IF(MASTER_PRODUCTS!B465="","",MASTER_PRODUCTS!B465)</f>
        <v/>
      </c>
      <c r="B465" t="str">
        <f>IF(A465="","",SUMIFS(PRODUCTION_REPORT!C:C,PRODUCTION_REPORT!B:B,A465))</f>
        <v/>
      </c>
      <c r="C465" t="str">
        <f>IF(A465="","",SUMIFS(SALES!E:E,SALES!D:D,A465))</f>
        <v/>
      </c>
      <c r="D465" t="str">
        <f t="shared" si="7"/>
        <v/>
      </c>
    </row>
    <row r="466" spans="1:4" x14ac:dyDescent="0.2">
      <c r="A466" t="str">
        <f>IF(MASTER_PRODUCTS!B466="","",MASTER_PRODUCTS!B466)</f>
        <v/>
      </c>
      <c r="B466" t="str">
        <f>IF(A466="","",SUMIFS(PRODUCTION_REPORT!C:C,PRODUCTION_REPORT!B:B,A466))</f>
        <v/>
      </c>
      <c r="C466" t="str">
        <f>IF(A466="","",SUMIFS(SALES!E:E,SALES!D:D,A466))</f>
        <v/>
      </c>
      <c r="D466" t="str">
        <f t="shared" si="7"/>
        <v/>
      </c>
    </row>
    <row r="467" spans="1:4" x14ac:dyDescent="0.2">
      <c r="A467" t="str">
        <f>IF(MASTER_PRODUCTS!B467="","",MASTER_PRODUCTS!B467)</f>
        <v/>
      </c>
      <c r="B467" t="str">
        <f>IF(A467="","",SUMIFS(PRODUCTION_REPORT!C:C,PRODUCTION_REPORT!B:B,A467))</f>
        <v/>
      </c>
      <c r="C467" t="str">
        <f>IF(A467="","",SUMIFS(SALES!E:E,SALES!D:D,A467))</f>
        <v/>
      </c>
      <c r="D467" t="str">
        <f t="shared" si="7"/>
        <v/>
      </c>
    </row>
    <row r="468" spans="1:4" x14ac:dyDescent="0.2">
      <c r="A468" t="str">
        <f>IF(MASTER_PRODUCTS!B468="","",MASTER_PRODUCTS!B468)</f>
        <v/>
      </c>
      <c r="B468" t="str">
        <f>IF(A468="","",SUMIFS(PRODUCTION_REPORT!C:C,PRODUCTION_REPORT!B:B,A468))</f>
        <v/>
      </c>
      <c r="C468" t="str">
        <f>IF(A468="","",SUMIFS(SALES!E:E,SALES!D:D,A468))</f>
        <v/>
      </c>
      <c r="D468" t="str">
        <f t="shared" si="7"/>
        <v/>
      </c>
    </row>
    <row r="469" spans="1:4" x14ac:dyDescent="0.2">
      <c r="A469" t="str">
        <f>IF(MASTER_PRODUCTS!B469="","",MASTER_PRODUCTS!B469)</f>
        <v/>
      </c>
      <c r="B469" t="str">
        <f>IF(A469="","",SUMIFS(PRODUCTION_REPORT!C:C,PRODUCTION_REPORT!B:B,A469))</f>
        <v/>
      </c>
      <c r="C469" t="str">
        <f>IF(A469="","",SUMIFS(SALES!E:E,SALES!D:D,A469))</f>
        <v/>
      </c>
      <c r="D469" t="str">
        <f t="shared" si="7"/>
        <v/>
      </c>
    </row>
    <row r="470" spans="1:4" x14ac:dyDescent="0.2">
      <c r="A470" t="str">
        <f>IF(MASTER_PRODUCTS!B470="","",MASTER_PRODUCTS!B470)</f>
        <v/>
      </c>
      <c r="B470" t="str">
        <f>IF(A470="","",SUMIFS(PRODUCTION_REPORT!C:C,PRODUCTION_REPORT!B:B,A470))</f>
        <v/>
      </c>
      <c r="C470" t="str">
        <f>IF(A470="","",SUMIFS(SALES!E:E,SALES!D:D,A470))</f>
        <v/>
      </c>
      <c r="D470" t="str">
        <f t="shared" si="7"/>
        <v/>
      </c>
    </row>
    <row r="471" spans="1:4" x14ac:dyDescent="0.2">
      <c r="A471" t="str">
        <f>IF(MASTER_PRODUCTS!B471="","",MASTER_PRODUCTS!B471)</f>
        <v/>
      </c>
      <c r="B471" t="str">
        <f>IF(A471="","",SUMIFS(PRODUCTION_REPORT!C:C,PRODUCTION_REPORT!B:B,A471))</f>
        <v/>
      </c>
      <c r="C471" t="str">
        <f>IF(A471="","",SUMIFS(SALES!E:E,SALES!D:D,A471))</f>
        <v/>
      </c>
      <c r="D471" t="str">
        <f t="shared" si="7"/>
        <v/>
      </c>
    </row>
    <row r="472" spans="1:4" x14ac:dyDescent="0.2">
      <c r="A472" t="str">
        <f>IF(MASTER_PRODUCTS!B472="","",MASTER_PRODUCTS!B472)</f>
        <v/>
      </c>
      <c r="B472" t="str">
        <f>IF(A472="","",SUMIFS(PRODUCTION_REPORT!C:C,PRODUCTION_REPORT!B:B,A472))</f>
        <v/>
      </c>
      <c r="C472" t="str">
        <f>IF(A472="","",SUMIFS(SALES!E:E,SALES!D:D,A472))</f>
        <v/>
      </c>
      <c r="D472" t="str">
        <f t="shared" si="7"/>
        <v/>
      </c>
    </row>
    <row r="473" spans="1:4" x14ac:dyDescent="0.2">
      <c r="A473" t="str">
        <f>IF(MASTER_PRODUCTS!B473="","",MASTER_PRODUCTS!B473)</f>
        <v/>
      </c>
      <c r="B473" t="str">
        <f>IF(A473="","",SUMIFS(PRODUCTION_REPORT!C:C,PRODUCTION_REPORT!B:B,A473))</f>
        <v/>
      </c>
      <c r="C473" t="str">
        <f>IF(A473="","",SUMIFS(SALES!E:E,SALES!D:D,A473))</f>
        <v/>
      </c>
      <c r="D473" t="str">
        <f t="shared" si="7"/>
        <v/>
      </c>
    </row>
    <row r="474" spans="1:4" x14ac:dyDescent="0.2">
      <c r="A474" t="str">
        <f>IF(MASTER_PRODUCTS!B474="","",MASTER_PRODUCTS!B474)</f>
        <v/>
      </c>
      <c r="B474" t="str">
        <f>IF(A474="","",SUMIFS(PRODUCTION_REPORT!C:C,PRODUCTION_REPORT!B:B,A474))</f>
        <v/>
      </c>
      <c r="C474" t="str">
        <f>IF(A474="","",SUMIFS(SALES!E:E,SALES!D:D,A474))</f>
        <v/>
      </c>
      <c r="D474" t="str">
        <f t="shared" si="7"/>
        <v/>
      </c>
    </row>
    <row r="475" spans="1:4" x14ac:dyDescent="0.2">
      <c r="A475" t="str">
        <f>IF(MASTER_PRODUCTS!B475="","",MASTER_PRODUCTS!B475)</f>
        <v/>
      </c>
      <c r="B475" t="str">
        <f>IF(A475="","",SUMIFS(PRODUCTION_REPORT!C:C,PRODUCTION_REPORT!B:B,A475))</f>
        <v/>
      </c>
      <c r="C475" t="str">
        <f>IF(A475="","",SUMIFS(SALES!E:E,SALES!D:D,A475))</f>
        <v/>
      </c>
      <c r="D475" t="str">
        <f t="shared" si="7"/>
        <v/>
      </c>
    </row>
    <row r="476" spans="1:4" x14ac:dyDescent="0.2">
      <c r="A476" t="str">
        <f>IF(MASTER_PRODUCTS!B476="","",MASTER_PRODUCTS!B476)</f>
        <v/>
      </c>
      <c r="B476" t="str">
        <f>IF(A476="","",SUMIFS(PRODUCTION_REPORT!C:C,PRODUCTION_REPORT!B:B,A476))</f>
        <v/>
      </c>
      <c r="C476" t="str">
        <f>IF(A476="","",SUMIFS(SALES!E:E,SALES!D:D,A476))</f>
        <v/>
      </c>
      <c r="D476" t="str">
        <f t="shared" si="7"/>
        <v/>
      </c>
    </row>
    <row r="477" spans="1:4" x14ac:dyDescent="0.2">
      <c r="A477" t="str">
        <f>IF(MASTER_PRODUCTS!B477="","",MASTER_PRODUCTS!B477)</f>
        <v/>
      </c>
      <c r="B477" t="str">
        <f>IF(A477="","",SUMIFS(PRODUCTION_REPORT!C:C,PRODUCTION_REPORT!B:B,A477))</f>
        <v/>
      </c>
      <c r="C477" t="str">
        <f>IF(A477="","",SUMIFS(SALES!E:E,SALES!D:D,A477))</f>
        <v/>
      </c>
      <c r="D477" t="str">
        <f t="shared" si="7"/>
        <v/>
      </c>
    </row>
    <row r="478" spans="1:4" x14ac:dyDescent="0.2">
      <c r="A478" t="str">
        <f>IF(MASTER_PRODUCTS!B478="","",MASTER_PRODUCTS!B478)</f>
        <v/>
      </c>
      <c r="B478" t="str">
        <f>IF(A478="","",SUMIFS(PRODUCTION_REPORT!C:C,PRODUCTION_REPORT!B:B,A478))</f>
        <v/>
      </c>
      <c r="C478" t="str">
        <f>IF(A478="","",SUMIFS(SALES!E:E,SALES!D:D,A478))</f>
        <v/>
      </c>
      <c r="D478" t="str">
        <f t="shared" si="7"/>
        <v/>
      </c>
    </row>
    <row r="479" spans="1:4" x14ac:dyDescent="0.2">
      <c r="A479" t="str">
        <f>IF(MASTER_PRODUCTS!B479="","",MASTER_PRODUCTS!B479)</f>
        <v/>
      </c>
      <c r="B479" t="str">
        <f>IF(A479="","",SUMIFS(PRODUCTION_REPORT!C:C,PRODUCTION_REPORT!B:B,A479))</f>
        <v/>
      </c>
      <c r="C479" t="str">
        <f>IF(A479="","",SUMIFS(SALES!E:E,SALES!D:D,A479))</f>
        <v/>
      </c>
      <c r="D479" t="str">
        <f t="shared" si="7"/>
        <v/>
      </c>
    </row>
    <row r="480" spans="1:4" x14ac:dyDescent="0.2">
      <c r="A480" t="str">
        <f>IF(MASTER_PRODUCTS!B480="","",MASTER_PRODUCTS!B480)</f>
        <v/>
      </c>
      <c r="B480" t="str">
        <f>IF(A480="","",SUMIFS(PRODUCTION_REPORT!C:C,PRODUCTION_REPORT!B:B,A480))</f>
        <v/>
      </c>
      <c r="C480" t="str">
        <f>IF(A480="","",SUMIFS(SALES!E:E,SALES!D:D,A480))</f>
        <v/>
      </c>
      <c r="D480" t="str">
        <f t="shared" si="7"/>
        <v/>
      </c>
    </row>
    <row r="481" spans="1:4" x14ac:dyDescent="0.2">
      <c r="A481" t="str">
        <f>IF(MASTER_PRODUCTS!B481="","",MASTER_PRODUCTS!B481)</f>
        <v/>
      </c>
      <c r="B481" t="str">
        <f>IF(A481="","",SUMIFS(PRODUCTION_REPORT!C:C,PRODUCTION_REPORT!B:B,A481))</f>
        <v/>
      </c>
      <c r="C481" t="str">
        <f>IF(A481="","",SUMIFS(SALES!E:E,SALES!D:D,A481))</f>
        <v/>
      </c>
      <c r="D481" t="str">
        <f t="shared" si="7"/>
        <v/>
      </c>
    </row>
    <row r="482" spans="1:4" x14ac:dyDescent="0.2">
      <c r="A482" t="str">
        <f>IF(MASTER_PRODUCTS!B482="","",MASTER_PRODUCTS!B482)</f>
        <v/>
      </c>
      <c r="B482" t="str">
        <f>IF(A482="","",SUMIFS(PRODUCTION_REPORT!C:C,PRODUCTION_REPORT!B:B,A482))</f>
        <v/>
      </c>
      <c r="C482" t="str">
        <f>IF(A482="","",SUMIFS(SALES!E:E,SALES!D:D,A482))</f>
        <v/>
      </c>
      <c r="D482" t="str">
        <f t="shared" si="7"/>
        <v/>
      </c>
    </row>
    <row r="483" spans="1:4" x14ac:dyDescent="0.2">
      <c r="A483" t="str">
        <f>IF(MASTER_PRODUCTS!B483="","",MASTER_PRODUCTS!B483)</f>
        <v/>
      </c>
      <c r="B483" t="str">
        <f>IF(A483="","",SUMIFS(PRODUCTION_REPORT!C:C,PRODUCTION_REPORT!B:B,A483))</f>
        <v/>
      </c>
      <c r="C483" t="str">
        <f>IF(A483="","",SUMIFS(SALES!E:E,SALES!D:D,A483))</f>
        <v/>
      </c>
      <c r="D483" t="str">
        <f t="shared" si="7"/>
        <v/>
      </c>
    </row>
    <row r="484" spans="1:4" x14ac:dyDescent="0.2">
      <c r="A484" t="str">
        <f>IF(MASTER_PRODUCTS!B484="","",MASTER_PRODUCTS!B484)</f>
        <v/>
      </c>
      <c r="B484" t="str">
        <f>IF(A484="","",SUMIFS(PRODUCTION_REPORT!C:C,PRODUCTION_REPORT!B:B,A484))</f>
        <v/>
      </c>
      <c r="C484" t="str">
        <f>IF(A484="","",SUMIFS(SALES!E:E,SALES!D:D,A484))</f>
        <v/>
      </c>
      <c r="D484" t="str">
        <f t="shared" si="7"/>
        <v/>
      </c>
    </row>
    <row r="485" spans="1:4" x14ac:dyDescent="0.2">
      <c r="A485" t="str">
        <f>IF(MASTER_PRODUCTS!B485="","",MASTER_PRODUCTS!B485)</f>
        <v/>
      </c>
      <c r="B485" t="str">
        <f>IF(A485="","",SUMIFS(PRODUCTION_REPORT!C:C,PRODUCTION_REPORT!B:B,A485))</f>
        <v/>
      </c>
      <c r="C485" t="str">
        <f>IF(A485="","",SUMIFS(SALES!E:E,SALES!D:D,A485))</f>
        <v/>
      </c>
      <c r="D485" t="str">
        <f t="shared" si="7"/>
        <v/>
      </c>
    </row>
    <row r="486" spans="1:4" x14ac:dyDescent="0.2">
      <c r="A486" t="str">
        <f>IF(MASTER_PRODUCTS!B486="","",MASTER_PRODUCTS!B486)</f>
        <v/>
      </c>
      <c r="B486" t="str">
        <f>IF(A486="","",SUMIFS(PRODUCTION_REPORT!C:C,PRODUCTION_REPORT!B:B,A486))</f>
        <v/>
      </c>
      <c r="C486" t="str">
        <f>IF(A486="","",SUMIFS(SALES!E:E,SALES!D:D,A486))</f>
        <v/>
      </c>
      <c r="D486" t="str">
        <f t="shared" si="7"/>
        <v/>
      </c>
    </row>
    <row r="487" spans="1:4" x14ac:dyDescent="0.2">
      <c r="A487" t="str">
        <f>IF(MASTER_PRODUCTS!B487="","",MASTER_PRODUCTS!B487)</f>
        <v/>
      </c>
      <c r="B487" t="str">
        <f>IF(A487="","",SUMIFS(PRODUCTION_REPORT!C:C,PRODUCTION_REPORT!B:B,A487))</f>
        <v/>
      </c>
      <c r="C487" t="str">
        <f>IF(A487="","",SUMIFS(SALES!E:E,SALES!D:D,A487))</f>
        <v/>
      </c>
      <c r="D487" t="str">
        <f t="shared" si="7"/>
        <v/>
      </c>
    </row>
    <row r="488" spans="1:4" x14ac:dyDescent="0.2">
      <c r="A488" t="str">
        <f>IF(MASTER_PRODUCTS!B488="","",MASTER_PRODUCTS!B488)</f>
        <v/>
      </c>
      <c r="B488" t="str">
        <f>IF(A488="","",SUMIFS(PRODUCTION_REPORT!C:C,PRODUCTION_REPORT!B:B,A488))</f>
        <v/>
      </c>
      <c r="C488" t="str">
        <f>IF(A488="","",SUMIFS(SALES!E:E,SALES!D:D,A488))</f>
        <v/>
      </c>
      <c r="D488" t="str">
        <f t="shared" si="7"/>
        <v/>
      </c>
    </row>
    <row r="489" spans="1:4" x14ac:dyDescent="0.2">
      <c r="A489" t="str">
        <f>IF(MASTER_PRODUCTS!B489="","",MASTER_PRODUCTS!B489)</f>
        <v/>
      </c>
      <c r="B489" t="str">
        <f>IF(A489="","",SUMIFS(PRODUCTION_REPORT!C:C,PRODUCTION_REPORT!B:B,A489))</f>
        <v/>
      </c>
      <c r="C489" t="str">
        <f>IF(A489="","",SUMIFS(SALES!E:E,SALES!D:D,A489))</f>
        <v/>
      </c>
      <c r="D489" t="str">
        <f t="shared" si="7"/>
        <v/>
      </c>
    </row>
    <row r="490" spans="1:4" x14ac:dyDescent="0.2">
      <c r="A490" t="str">
        <f>IF(MASTER_PRODUCTS!B490="","",MASTER_PRODUCTS!B490)</f>
        <v/>
      </c>
      <c r="B490" t="str">
        <f>IF(A490="","",SUMIFS(PRODUCTION_REPORT!C:C,PRODUCTION_REPORT!B:B,A490))</f>
        <v/>
      </c>
      <c r="C490" t="str">
        <f>IF(A490="","",SUMIFS(SALES!E:E,SALES!D:D,A490))</f>
        <v/>
      </c>
      <c r="D490" t="str">
        <f t="shared" si="7"/>
        <v/>
      </c>
    </row>
    <row r="491" spans="1:4" x14ac:dyDescent="0.2">
      <c r="A491" t="str">
        <f>IF(MASTER_PRODUCTS!B491="","",MASTER_PRODUCTS!B491)</f>
        <v/>
      </c>
      <c r="B491" t="str">
        <f>IF(A491="","",SUMIFS(PRODUCTION_REPORT!C:C,PRODUCTION_REPORT!B:B,A491))</f>
        <v/>
      </c>
      <c r="C491" t="str">
        <f>IF(A491="","",SUMIFS(SALES!E:E,SALES!D:D,A491))</f>
        <v/>
      </c>
      <c r="D491" t="str">
        <f t="shared" si="7"/>
        <v/>
      </c>
    </row>
    <row r="492" spans="1:4" x14ac:dyDescent="0.2">
      <c r="A492" t="str">
        <f>IF(MASTER_PRODUCTS!B492="","",MASTER_PRODUCTS!B492)</f>
        <v/>
      </c>
      <c r="B492" t="str">
        <f>IF(A492="","",SUMIFS(PRODUCTION_REPORT!C:C,PRODUCTION_REPORT!B:B,A492))</f>
        <v/>
      </c>
      <c r="C492" t="str">
        <f>IF(A492="","",SUMIFS(SALES!E:E,SALES!D:D,A492))</f>
        <v/>
      </c>
      <c r="D492" t="str">
        <f t="shared" si="7"/>
        <v/>
      </c>
    </row>
    <row r="493" spans="1:4" x14ac:dyDescent="0.2">
      <c r="A493" t="str">
        <f>IF(MASTER_PRODUCTS!B493="","",MASTER_PRODUCTS!B493)</f>
        <v/>
      </c>
      <c r="B493" t="str">
        <f>IF(A493="","",SUMIFS(PRODUCTION_REPORT!C:C,PRODUCTION_REPORT!B:B,A493))</f>
        <v/>
      </c>
      <c r="C493" t="str">
        <f>IF(A493="","",SUMIFS(SALES!E:E,SALES!D:D,A493))</f>
        <v/>
      </c>
      <c r="D493" t="str">
        <f t="shared" si="7"/>
        <v/>
      </c>
    </row>
    <row r="494" spans="1:4" x14ac:dyDescent="0.2">
      <c r="A494" t="str">
        <f>IF(MASTER_PRODUCTS!B494="","",MASTER_PRODUCTS!B494)</f>
        <v/>
      </c>
      <c r="B494" t="str">
        <f>IF(A494="","",SUMIFS(PRODUCTION_REPORT!C:C,PRODUCTION_REPORT!B:B,A494))</f>
        <v/>
      </c>
      <c r="C494" t="str">
        <f>IF(A494="","",SUMIFS(SALES!E:E,SALES!D:D,A494))</f>
        <v/>
      </c>
      <c r="D494" t="str">
        <f t="shared" si="7"/>
        <v/>
      </c>
    </row>
    <row r="495" spans="1:4" x14ac:dyDescent="0.2">
      <c r="A495" t="str">
        <f>IF(MASTER_PRODUCTS!B495="","",MASTER_PRODUCTS!B495)</f>
        <v/>
      </c>
      <c r="B495" t="str">
        <f>IF(A495="","",SUMIFS(PRODUCTION_REPORT!C:C,PRODUCTION_REPORT!B:B,A495))</f>
        <v/>
      </c>
      <c r="C495" t="str">
        <f>IF(A495="","",SUMIFS(SALES!E:E,SALES!D:D,A495))</f>
        <v/>
      </c>
      <c r="D495" t="str">
        <f t="shared" si="7"/>
        <v/>
      </c>
    </row>
    <row r="496" spans="1:4" x14ac:dyDescent="0.2">
      <c r="A496" t="str">
        <f>IF(MASTER_PRODUCTS!B496="","",MASTER_PRODUCTS!B496)</f>
        <v/>
      </c>
      <c r="B496" t="str">
        <f>IF(A496="","",SUMIFS(PRODUCTION_REPORT!C:C,PRODUCTION_REPORT!B:B,A496))</f>
        <v/>
      </c>
      <c r="C496" t="str">
        <f>IF(A496="","",SUMIFS(SALES!E:E,SALES!D:D,A496))</f>
        <v/>
      </c>
      <c r="D496" t="str">
        <f t="shared" si="7"/>
        <v/>
      </c>
    </row>
    <row r="497" spans="1:4" x14ac:dyDescent="0.2">
      <c r="A497" t="str">
        <f>IF(MASTER_PRODUCTS!B497="","",MASTER_PRODUCTS!B497)</f>
        <v/>
      </c>
      <c r="B497" t="str">
        <f>IF(A497="","",SUMIFS(PRODUCTION_REPORT!C:C,PRODUCTION_REPORT!B:B,A497))</f>
        <v/>
      </c>
      <c r="C497" t="str">
        <f>IF(A497="","",SUMIFS(SALES!E:E,SALES!D:D,A497))</f>
        <v/>
      </c>
      <c r="D497" t="str">
        <f t="shared" si="7"/>
        <v/>
      </c>
    </row>
    <row r="498" spans="1:4" x14ac:dyDescent="0.2">
      <c r="A498" t="str">
        <f>IF(MASTER_PRODUCTS!B498="","",MASTER_PRODUCTS!B498)</f>
        <v/>
      </c>
      <c r="B498" t="str">
        <f>IF(A498="","",SUMIFS(PRODUCTION_REPORT!C:C,PRODUCTION_REPORT!B:B,A498))</f>
        <v/>
      </c>
      <c r="C498" t="str">
        <f>IF(A498="","",SUMIFS(SALES!E:E,SALES!D:D,A498))</f>
        <v/>
      </c>
      <c r="D498" t="str">
        <f t="shared" si="7"/>
        <v/>
      </c>
    </row>
    <row r="499" spans="1:4" x14ac:dyDescent="0.2">
      <c r="A499" t="str">
        <f>IF(MASTER_PRODUCTS!B499="","",MASTER_PRODUCTS!B499)</f>
        <v/>
      </c>
      <c r="B499" t="str">
        <f>IF(A499="","",SUMIFS(PRODUCTION_REPORT!C:C,PRODUCTION_REPORT!B:B,A499))</f>
        <v/>
      </c>
      <c r="C499" t="str">
        <f>IF(A499="","",SUMIFS(SALES!E:E,SALES!D:D,A499))</f>
        <v/>
      </c>
      <c r="D499" t="str">
        <f t="shared" si="7"/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"/>
  <sheetViews>
    <sheetView workbookViewId="0">
      <selection activeCell="A2" sqref="A2"/>
    </sheetView>
  </sheetViews>
  <sheetFormatPr baseColWidth="10" defaultColWidth="8.83203125" defaultRowHeight="15" x14ac:dyDescent="0.2"/>
  <cols>
    <col min="1" max="5" width="24" customWidth="1"/>
  </cols>
  <sheetData>
    <row r="1" spans="1:5" x14ac:dyDescent="0.2">
      <c r="A1" s="1" t="s">
        <v>20</v>
      </c>
      <c r="B1" s="1" t="s">
        <v>8</v>
      </c>
      <c r="C1" s="1" t="s">
        <v>52</v>
      </c>
      <c r="D1" s="1" t="s">
        <v>46</v>
      </c>
      <c r="E1" s="1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/>
  </sheetViews>
  <sheetFormatPr baseColWidth="10" defaultColWidth="8.83203125" defaultRowHeight="15" x14ac:dyDescent="0.2"/>
  <cols>
    <col min="1" max="2" width="24" customWidth="1"/>
  </cols>
  <sheetData>
    <row r="1" spans="1:2" x14ac:dyDescent="0.2">
      <c r="A1" s="1" t="s">
        <v>54</v>
      </c>
      <c r="B1" s="1" t="s">
        <v>55</v>
      </c>
    </row>
    <row r="2" spans="1:2" x14ac:dyDescent="0.2">
      <c r="A2" t="s">
        <v>56</v>
      </c>
      <c r="B2">
        <f>SUM(STOCK_LEDGER!G:G)</f>
        <v>17398000</v>
      </c>
    </row>
    <row r="3" spans="1:2" x14ac:dyDescent="0.2">
      <c r="A3" t="s">
        <v>57</v>
      </c>
      <c r="B3">
        <f>SUM(FG_STOCK!B:B)</f>
        <v>350</v>
      </c>
    </row>
    <row r="4" spans="1:2" x14ac:dyDescent="0.2">
      <c r="A4" t="s">
        <v>58</v>
      </c>
      <c r="B4">
        <f>SUM(FG_STOCK!C:C)</f>
        <v>135</v>
      </c>
    </row>
    <row r="5" spans="1:2" x14ac:dyDescent="0.2">
      <c r="A5" t="s">
        <v>59</v>
      </c>
      <c r="B5">
        <f>SUM(FG_STOCK!D:D)</f>
        <v>215</v>
      </c>
    </row>
    <row r="6" spans="1:2" x14ac:dyDescent="0.2">
      <c r="A6" t="s">
        <v>60</v>
      </c>
      <c r="B6">
        <f>SUM(PURCHASES!G:G)</f>
        <v>0</v>
      </c>
    </row>
    <row r="7" spans="1:2" x14ac:dyDescent="0.2">
      <c r="A7" t="s">
        <v>61</v>
      </c>
      <c r="B7">
        <f>SUM(SALES!G:G)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MASTER_PRODUCTS</vt:lpstr>
      <vt:lpstr>MASTER_RAW_MATERIALS</vt:lpstr>
      <vt:lpstr>BOM</vt:lpstr>
      <vt:lpstr>PURCHASES</vt:lpstr>
      <vt:lpstr>PRODUCTION_REPORT</vt:lpstr>
      <vt:lpstr>SALES</vt:lpstr>
      <vt:lpstr>STOCK_LEDGER</vt:lpstr>
      <vt:lpstr>FG_STOCK</vt:lpstr>
      <vt:lpstr>VARIANCE_REPORT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kutty vysakh</cp:lastModifiedBy>
  <dcterms:created xsi:type="dcterms:W3CDTF">2026-05-10T16:33:18Z</dcterms:created>
  <dcterms:modified xsi:type="dcterms:W3CDTF">2026-05-11T16:48:19Z</dcterms:modified>
</cp:coreProperties>
</file>